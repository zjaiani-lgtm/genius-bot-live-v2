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_FIREWALL" sheetId="1" state="visible" r:id="rId1"/>
    <sheet xmlns:r="http://schemas.openxmlformats.org/officeDocument/2006/relationships" name="RISK_ENVELOPE_LOCK" sheetId="2" state="visible" r:id="rId2"/>
    <sheet xmlns:r="http://schemas.openxmlformats.org/officeDocument/2006/relationships" name="SYSTEM_HEARTBEAT" sheetId="3" state="visible" r:id="rId3"/>
    <sheet xmlns:r="http://schemas.openxmlformats.org/officeDocument/2006/relationships" name="FORENSIC_LOGIC_MATRIX" sheetId="4" state="visible" r:id="rId4"/>
    <sheet xmlns:r="http://schemas.openxmlformats.org/officeDocument/2006/relationships" name="SELL_LOGIC_EVOLUTION" sheetId="5" state="visible" r:id="rId5"/>
    <sheet xmlns:r="http://schemas.openxmlformats.org/officeDocument/2006/relationships" name="WEIGHT_THRESHOLD_MATRIX" sheetId="6" state="visible" r:id="rId6"/>
    <sheet xmlns:r="http://schemas.openxmlformats.org/officeDocument/2006/relationships" name="CONFLICT_OVERRIDE" sheetId="7" state="visible" r:id="rId7"/>
    <sheet xmlns:r="http://schemas.openxmlformats.org/officeDocument/2006/relationships" name="UNIFIED_MASTER_ENGINE" sheetId="8" state="visible" r:id="rId8"/>
    <sheet xmlns:r="http://schemas.openxmlformats.org/officeDocument/2006/relationships" name="BACKTEST_SIMULATION" sheetId="9" state="visible" r:id="rId9"/>
    <sheet xmlns:r="http://schemas.openxmlformats.org/officeDocument/2006/relationships" name="MONTE_CARLO_SIM" sheetId="10" state="visible" r:id="rId10"/>
    <sheet xmlns:r="http://schemas.openxmlformats.org/officeDocument/2006/relationships" name="VOLATILITY_REGIME" sheetId="11" state="visible" r:id="rId11"/>
    <sheet xmlns:r="http://schemas.openxmlformats.org/officeDocument/2006/relationships" name="EQUITY_ADAPTIVE_SCALING" sheetId="12" state="visible" r:id="rId12"/>
    <sheet xmlns:r="http://schemas.openxmlformats.org/officeDocument/2006/relationships" name="TRADE_CLUSTER_PROTECTION" sheetId="13" state="visible" r:id="rId13"/>
    <sheet xmlns:r="http://schemas.openxmlformats.org/officeDocument/2006/relationships" name="AUTO_WEIGHT_ADJUSTER" sheetId="14" state="visible" r:id="rId14"/>
    <sheet xmlns:r="http://schemas.openxmlformats.org/officeDocument/2006/relationships" name="MONTE_CARLO_1000" sheetId="15" state="visible" r:id="rId15"/>
    <sheet xmlns:r="http://schemas.openxmlformats.org/officeDocument/2006/relationships" name="DYNAMIC_WEIGHT_SWITCH" sheetId="16" state="visible" r:id="rId16"/>
    <sheet xmlns:r="http://schemas.openxmlformats.org/officeDocument/2006/relationships" name="EQUITY_SLOPE_DETECTOR" sheetId="17" state="visible" r:id="rId17"/>
    <sheet xmlns:r="http://schemas.openxmlformats.org/officeDocument/2006/relationships" name="CORRELATION_FILTER" sheetId="18" state="visible" r:id="rId18"/>
    <sheet xmlns:r="http://schemas.openxmlformats.org/officeDocument/2006/relationships" name="PORTFOLIO_ALLOCATOR" sheetId="19" state="visible" r:id="rId19"/>
    <sheet xmlns:r="http://schemas.openxmlformats.org/officeDocument/2006/relationships" name="PATH_MONTE_CARLO" sheetId="20" state="visible" r:id="rId20"/>
    <sheet xmlns:r="http://schemas.openxmlformats.org/officeDocument/2006/relationships" name="KELLY_ADAPTIVE" sheetId="21" state="visible" r:id="rId21"/>
    <sheet xmlns:r="http://schemas.openxmlformats.org/officeDocument/2006/relationships" name="REGIME_PROB_MATRIX" sheetId="22" state="visible" r:id="rId22"/>
    <sheet xmlns:r="http://schemas.openxmlformats.org/officeDocument/2006/relationships" name="BAYESIAN_WEIGHT_UPDATE" sheetId="23" state="visible" r:id="rId23"/>
    <sheet xmlns:r="http://schemas.openxmlformats.org/officeDocument/2006/relationships" name="HMM_REGIME_MODEL" sheetId="24" state="visible" r:id="rId24"/>
    <sheet xmlns:r="http://schemas.openxmlformats.org/officeDocument/2006/relationships" name="DRAWDOWN_PHASE_DETECTOR" sheetId="25" state="visible" r:id="rId25"/>
    <sheet xmlns:r="http://schemas.openxmlformats.org/officeDocument/2006/relationships" name="VOL_OF_VOL_FILTER" sheetId="26" state="visible" r:id="rId26"/>
    <sheet xmlns:r="http://schemas.openxmlformats.org/officeDocument/2006/relationships" name="CAPITAL_VELOCITY_OPTIMIZER" sheetId="27" state="visible" r:id="rId27"/>
    <sheet xmlns:r="http://schemas.openxmlformats.org/officeDocument/2006/relationships" name="SELF_LEARNING_ENGINE" sheetId="28" state="visible" r:id="rId28"/>
    <sheet xmlns:r="http://schemas.openxmlformats.org/officeDocument/2006/relationships" name="AUTONOMOUS_REALLOCATOR" sheetId="29" state="visible" r:id="rId29"/>
    <sheet xmlns:r="http://schemas.openxmlformats.org/officeDocument/2006/relationships" name="ADAPTIVE_RISK_LOOP" sheetId="30" state="visible" r:id="rId30"/>
    <sheet xmlns:r="http://schemas.openxmlformats.org/officeDocument/2006/relationships" name="SYSTEM_EVOLUTION_TRACKER" sheetId="31" state="visible" r:id="rId31"/>
    <sheet xmlns:r="http://schemas.openxmlformats.org/officeDocument/2006/relationships" name="FUND_SIM_GRID" sheetId="32" state="visible" r:id="rId32"/>
    <sheet xmlns:r="http://schemas.openxmlformats.org/officeDocument/2006/relationships" name="PARALLEL_BACKTEST_MATRIX" sheetId="33" state="visible" r:id="rId33"/>
    <sheet xmlns:r="http://schemas.openxmlformats.org/officeDocument/2006/relationships" name="SURVIVAL_SELECTION" sheetId="34" state="visible" r:id="rId34"/>
    <sheet xmlns:r="http://schemas.openxmlformats.org/officeDocument/2006/relationships" name="CAPITAL_REDISTRIBUTION" sheetId="35" state="visible" r:id="rId35"/>
    <sheet xmlns:r="http://schemas.openxmlformats.org/officeDocument/2006/relationships" name="FUND_META_DASHBOARD" sheetId="36" state="visible" r:id="rId36"/>
    <sheet xmlns:r="http://schemas.openxmlformats.org/officeDocument/2006/relationships" name="STRATEGY_MUTATION_ENGINE" sheetId="37" state="visible" r:id="rId37"/>
    <sheet xmlns:r="http://schemas.openxmlformats.org/officeDocument/2006/relationships" name="PARAMETER_BREEDING_LAB" sheetId="38" state="visible" r:id="rId38"/>
    <sheet xmlns:r="http://schemas.openxmlformats.org/officeDocument/2006/relationships" name="DNA_SWAP_MATRIX" sheetId="39" state="visible" r:id="rId39"/>
    <sheet xmlns:r="http://schemas.openxmlformats.org/officeDocument/2006/relationships" name="EVOLUTION_SCORE_MEMORY" sheetId="40" state="visible" r:id="rId40"/>
    <sheet xmlns:r="http://schemas.openxmlformats.org/officeDocument/2006/relationships" name="EVOLUTION_CONTROL_PANEL" sheetId="41" state="visible" r:id="rId41"/>
    <sheet xmlns:r="http://schemas.openxmlformats.org/officeDocument/2006/relationships" name="SELF_IMPROVING_REGIME" sheetId="42" state="visible" r:id="rId42"/>
    <sheet xmlns:r="http://schemas.openxmlformats.org/officeDocument/2006/relationships" name="CROSS_MARKET_ADAPTIVE" sheetId="43" state="visible" r:id="rId43"/>
    <sheet xmlns:r="http://schemas.openxmlformats.org/officeDocument/2006/relationships" name="CAPITAL_FLOW_MODEL" sheetId="44" state="visible" r:id="rId44"/>
    <sheet xmlns:r="http://schemas.openxmlformats.org/officeDocument/2006/relationships" name="META_FUND_LAYER" sheetId="45" state="visible" r:id="rId45"/>
    <sheet xmlns:r="http://schemas.openxmlformats.org/officeDocument/2006/relationships" name="GLOBAL_LIQUIDITY_PROXY" sheetId="46" state="visible" r:id="rId46"/>
    <sheet xmlns:r="http://schemas.openxmlformats.org/officeDocument/2006/relationships" name="MACRO_RISK_THERMOMETER" sheetId="47" state="visible" r:id="rId47"/>
    <sheet xmlns:r="http://schemas.openxmlformats.org/officeDocument/2006/relationships" name="CAPITAL_SHOCK_ABSORBER" sheetId="48" state="visible" r:id="rId48"/>
    <sheet xmlns:r="http://schemas.openxmlformats.org/officeDocument/2006/relationships" name="CAPITAL_PRESERVATION_MODE" sheetId="49" state="visible" r:id="rId49"/>
    <sheet xmlns:r="http://schemas.openxmlformats.org/officeDocument/2006/relationships" name="GLOBAL_REGIME_SYNC" sheetId="50" state="visible" r:id="rId50"/>
    <sheet xmlns:r="http://schemas.openxmlformats.org/officeDocument/2006/relationships" name="CRISIS_SIM_MATRIX" sheetId="51" state="visible" r:id="rId51"/>
    <sheet xmlns:r="http://schemas.openxmlformats.org/officeDocument/2006/relationships" name="STRESS_PROPAGATION_MODEL" sheetId="52" state="visible" r:id="rId52"/>
    <sheet xmlns:r="http://schemas.openxmlformats.org/officeDocument/2006/relationships" name="RISK_OFF_ROTATION" sheetId="53" state="visible" r:id="rId53"/>
    <sheet xmlns:r="http://schemas.openxmlformats.org/officeDocument/2006/relationships" name="GLOBAL_CAPITAL_CYCLE" sheetId="54" state="visible" r:id="rId54"/>
    <sheet xmlns:r="http://schemas.openxmlformats.org/officeDocument/2006/relationships" name="SYSTEMIC_FRAGILITY_INDEX" sheetId="55" state="visible" r:id="rId55"/>
    <sheet xmlns:r="http://schemas.openxmlformats.org/officeDocument/2006/relationships" name="LIQUIDITY_VACUUM" sheetId="56" state="visible" r:id="rId56"/>
    <sheet xmlns:r="http://schemas.openxmlformats.org/officeDocument/2006/relationships" name="CAPITAL_MIGRATION_MATRIX" sheetId="57" state="visible" r:id="rId57"/>
    <sheet xmlns:r="http://schemas.openxmlformats.org/officeDocument/2006/relationships" name="AI_DECISION_FUSION" sheetId="58" state="visible" r:id="rId58"/>
    <sheet xmlns:r="http://schemas.openxmlformats.org/officeDocument/2006/relationships" name="AI_CONFIDENCE_CALIBRATOR" sheetId="59" state="visible" r:id="rId59"/>
    <sheet xmlns:r="http://schemas.openxmlformats.org/officeDocument/2006/relationships" name="AI_RISK_DISTRIBUTOR" sheetId="60" state="visible" r:id="rId60"/>
    <sheet xmlns:r="http://schemas.openxmlformats.org/officeDocument/2006/relationships" name="AI_AUTONOMOUS_LOOP" sheetId="61" state="visible" r:id="rId61"/>
    <sheet xmlns:r="http://schemas.openxmlformats.org/officeDocument/2006/relationships" name="AI_META_DASHBOARD" sheetId="62" state="visible" r:id="rId62"/>
    <sheet xmlns:r="http://schemas.openxmlformats.org/officeDocument/2006/relationships" name="LIVE_MACRO_RISK_GATE" sheetId="63" state="visible" r:id="rId63"/>
    <sheet xmlns:r="http://schemas.openxmlformats.org/officeDocument/2006/relationships" name="LIVE_STRATEGY_SELECTOR" sheetId="64" state="visible" r:id="rId64"/>
    <sheet xmlns:r="http://schemas.openxmlformats.org/officeDocument/2006/relationships" name="AI_MASTER_LIVE_DECISION" sheetId="65" state="visible" r:id="rId65"/>
    <sheet xmlns:r="http://schemas.openxmlformats.org/officeDocument/2006/relationships" name="EXECUTION_EFFICIENCY_SCORE" sheetId="66" state="visible" r:id="rId66"/>
    <sheet xmlns:r="http://schemas.openxmlformats.org/officeDocument/2006/relationships" name="ALPHA_PERSISTENCE_ENGINE" sheetId="67" state="visible" r:id="rId67"/>
    <sheet xmlns:r="http://schemas.openxmlformats.org/officeDocument/2006/relationships" name="ADAPTIVE_EXIT_MANAGER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SELL_ALLOWED_FINAL</t>
        </is>
      </c>
    </row>
    <row r="2">
      <c r="A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KILL_SWITCH</t>
        </is>
      </c>
    </row>
    <row r="2">
      <c r="A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GLOBAL_STATUS</t>
        </is>
      </c>
    </row>
    <row r="2">
      <c r="A2" t="inlineStr">
        <is>
          <t>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Formula / Logic</t>
        </is>
      </c>
    </row>
    <row r="2">
      <c r="A2" t="inlineStr">
        <is>
          <t>DYZEN_CAPITAL_OS_100_PERCENT_PDF_COMPLIANT.xlsx</t>
        </is>
      </c>
      <c r="B2" t="inlineStr">
        <is>
          <t>MASTER_DASHBOARD</t>
        </is>
      </c>
      <c r="C2" t="inlineStr">
        <is>
          <t>A1</t>
        </is>
      </c>
      <c r="D2" t="inlineStr">
        <is>
          <t>DYZEN CAPITAL OS — FULL INSTITUTIONAL HARDENED VERSION</t>
        </is>
      </c>
    </row>
    <row r="3">
      <c r="A3" t="inlineStr">
        <is>
          <t>DYZEN_CAPITAL_OS_100_PERCENT_PDF_COMPLIANT.xlsx</t>
        </is>
      </c>
      <c r="B3" t="inlineStr">
        <is>
          <t>MASTER_DASHBOARD</t>
        </is>
      </c>
      <c r="C3" t="inlineStr">
        <is>
          <t>A4</t>
        </is>
      </c>
      <c r="D3" t="inlineStr">
        <is>
          <t>Global Exposure Cap %</t>
        </is>
      </c>
    </row>
    <row r="4">
      <c r="A4" t="inlineStr">
        <is>
          <t>DYZEN_CAPITAL_OS_100_PERCENT_PDF_COMPLIANT.xlsx</t>
        </is>
      </c>
      <c r="B4" t="inlineStr">
        <is>
          <t>MASTER_DASHBOARD</t>
        </is>
      </c>
      <c r="C4" t="inlineStr">
        <is>
          <t>A6</t>
        </is>
      </c>
      <c r="D4" t="inlineStr">
        <is>
          <t>Free Capital</t>
        </is>
      </c>
    </row>
    <row r="5">
      <c r="A5" t="inlineStr">
        <is>
          <t>DYZEN_CAPITAL_OS_100_PERCENT_PDF_COMPLIANT.xlsx</t>
        </is>
      </c>
      <c r="B5" t="inlineStr">
        <is>
          <t>MASTER_DASHBOARD</t>
        </is>
      </c>
      <c r="C5" t="inlineStr">
        <is>
          <t>A8</t>
        </is>
      </c>
      <c r="D5" t="inlineStr">
        <is>
          <t>Current Drawdown %</t>
        </is>
      </c>
    </row>
    <row r="6">
      <c r="A6" t="inlineStr">
        <is>
          <t>DYZEN_CAPITAL_OS_100_PERCENT_PDF_COMPLIANT.xlsx</t>
        </is>
      </c>
      <c r="B6" t="inlineStr">
        <is>
          <t>CORRELATION_MATRIX</t>
        </is>
      </c>
      <c r="C6" t="inlineStr">
        <is>
          <t>A7</t>
        </is>
      </c>
      <c r="D6" t="inlineStr">
        <is>
          <t>Cluster Risk Factor</t>
        </is>
      </c>
    </row>
    <row r="7">
      <c r="A7" t="inlineStr">
        <is>
          <t>DYZEN_CAPITAL_OS_100_PERCENT_PDF_COMPLIANT.xlsx</t>
        </is>
      </c>
      <c r="B7" t="inlineStr">
        <is>
          <t>DRAWDOWN_ENGINE</t>
        </is>
      </c>
      <c r="C7" t="inlineStr">
        <is>
          <t>A1</t>
        </is>
      </c>
      <c r="D7" t="inlineStr">
        <is>
          <t>Defensive Threshold</t>
        </is>
      </c>
    </row>
    <row r="8">
      <c r="A8" t="inlineStr">
        <is>
          <t>DYZEN_CAPITAL_OS_100_PERCENT_PDF_COMPLIANT.xlsx</t>
        </is>
      </c>
      <c r="B8" t="inlineStr">
        <is>
          <t>DRAWDOWN_ENGINE</t>
        </is>
      </c>
      <c r="C8" t="inlineStr">
        <is>
          <t>A2</t>
        </is>
      </c>
      <c r="D8" t="inlineStr">
        <is>
          <t>Critical Threshold</t>
        </is>
      </c>
    </row>
    <row r="9">
      <c r="A9" t="inlineStr">
        <is>
          <t>DYZEN_CAPITAL_OS_100_PERCENT_PDF_COMPLIANT.xlsx</t>
        </is>
      </c>
      <c r="B9" t="inlineStr">
        <is>
          <t>DRAWDOWN_ENGINE</t>
        </is>
      </c>
      <c r="C9" t="inlineStr">
        <is>
          <t>A4</t>
        </is>
      </c>
      <c r="D9" t="inlineStr">
        <is>
          <t>Current DD</t>
        </is>
      </c>
    </row>
    <row r="10">
      <c r="A10" t="inlineStr">
        <is>
          <t>DYZEN_CAPITAL_OS_100_PERCENT_PDF_COMPLIANT.xlsx</t>
        </is>
      </c>
      <c r="B10" t="inlineStr">
        <is>
          <t>DRAWDOWN_ENGINE</t>
        </is>
      </c>
      <c r="C10" t="inlineStr">
        <is>
          <t>A6</t>
        </is>
      </c>
      <c r="D10" t="inlineStr">
        <is>
          <t>Risk Mode</t>
        </is>
      </c>
    </row>
    <row r="11">
      <c r="A11" t="inlineStr">
        <is>
          <t>DYZEN_CAPITAL_OS_100_PERCENT_PDF_COMPLIANT.xlsx</t>
        </is>
      </c>
      <c r="B11" t="inlineStr">
        <is>
          <t>REGIME_ENGINE</t>
        </is>
      </c>
      <c r="C11" t="inlineStr">
        <is>
          <t>A7</t>
        </is>
      </c>
      <c r="D11" t="inlineStr">
        <is>
          <t>Regime</t>
        </is>
      </c>
    </row>
    <row r="12">
      <c r="A12" t="inlineStr">
        <is>
          <t>DYZEN_CAPITAL_OS_100_PERCENT_PDF_COMPLIANT.xlsx</t>
        </is>
      </c>
      <c r="B12" t="inlineStr">
        <is>
          <t>REGIME_ENGINE</t>
        </is>
      </c>
      <c r="C12" t="inlineStr">
        <is>
          <t>A9</t>
        </is>
      </c>
      <c r="D12" t="inlineStr">
        <is>
          <t>Regime Multiplier</t>
        </is>
      </c>
    </row>
    <row r="13">
      <c r="A13" t="inlineStr">
        <is>
          <t>DYZEN_CAPITAL_OS_100_PERCENT_PDF_COMPLIANT.xlsx</t>
        </is>
      </c>
      <c r="B13" t="inlineStr">
        <is>
          <t>EXECUTION_TICKET</t>
        </is>
      </c>
      <c r="C13" t="inlineStr">
        <is>
          <t>A4</t>
        </is>
      </c>
      <c r="D13" t="inlineStr">
        <is>
          <t>Regime Adjusted Size</t>
        </is>
      </c>
    </row>
    <row r="14">
      <c r="A14" t="inlineStr">
        <is>
          <t>DYZEN_CAPITAL_OS_100_PERCENT_PDF_COMPLIANT.xlsx</t>
        </is>
      </c>
      <c r="B14" t="inlineStr">
        <is>
          <t>EXECUTION_TICKET</t>
        </is>
      </c>
      <c r="C14" t="inlineStr">
        <is>
          <t>B4</t>
        </is>
      </c>
      <c r="D14">
        <f>B3*REGIME_ENGINE!B9</f>
        <v/>
      </c>
    </row>
    <row r="15">
      <c r="A15" t="inlineStr">
        <is>
          <t>DYZEN_CAPITAL_OS_100_PERCENT_PDF_COMPLIANT.xlsx</t>
        </is>
      </c>
      <c r="B15" t="inlineStr">
        <is>
          <t>EXECUTION_TICKET</t>
        </is>
      </c>
      <c r="C15" t="inlineStr">
        <is>
          <t>A5</t>
        </is>
      </c>
      <c r="D15" t="inlineStr">
        <is>
          <t>Drawdown Adjusted Size</t>
        </is>
      </c>
    </row>
    <row r="16">
      <c r="A16" t="inlineStr">
        <is>
          <t>DYZEN_CAPITAL_OS_100_PERCENT_PDF_COMPLIANT.xlsx</t>
        </is>
      </c>
      <c r="B16" t="inlineStr">
        <is>
          <t>EXECUTION_TICKET</t>
        </is>
      </c>
      <c r="C16" t="inlineStr">
        <is>
          <t>B5</t>
        </is>
      </c>
      <c r="D16">
        <f>B4*DRAWDOWN_ENGINE!B8</f>
        <v/>
      </c>
    </row>
    <row r="17">
      <c r="A17" t="inlineStr">
        <is>
          <t>DYZEN_CAPITAL_OS_100_PERCENT_PDF_COMPLIANT.xlsx</t>
        </is>
      </c>
      <c r="B17" t="inlineStr">
        <is>
          <t>EXECUTION_TICKET</t>
        </is>
      </c>
      <c r="C17" t="inlineStr">
        <is>
          <t>B7</t>
        </is>
      </c>
      <c r="D17">
        <f>IF(AND(FAILURE_ARCHITECTURE!B6="ACTIVE",DRAWDOWN_ENGINE!B6&lt;&gt;"CRITICAL"),"APPROVED","REJECTED")</f>
        <v/>
      </c>
    </row>
    <row r="18">
      <c r="A18" t="inlineStr">
        <is>
          <t>DYZEN_CAPITAL_OS_100_PERCENT_PDF_COMPLIANT.xlsx</t>
        </is>
      </c>
      <c r="B18" t="inlineStr">
        <is>
          <t>EXECUTION_TICKET</t>
        </is>
      </c>
      <c r="C18" t="inlineStr">
        <is>
          <t>A9</t>
        </is>
      </c>
      <c r="D18" t="inlineStr">
        <is>
          <t>Open Risk Check</t>
        </is>
      </c>
    </row>
    <row r="19">
      <c r="A19" t="inlineStr">
        <is>
          <t>DYZEN_CAPITAL_OS_100_PERCENT_PDF_COMPLIANT.xlsx</t>
        </is>
      </c>
      <c r="B19" t="inlineStr">
        <is>
          <t>EXECUTION_TICKET</t>
        </is>
      </c>
      <c r="C19" t="inlineStr">
        <is>
          <t>B9</t>
        </is>
      </c>
      <c r="D19">
        <f>OPEN_RISK_ENGINE!B9</f>
        <v/>
      </c>
    </row>
    <row r="20">
      <c r="A20" t="inlineStr">
        <is>
          <t>DYZEN_CAPITAL_OS_100_PERCENT_PDF_COMPLIANT.xlsx</t>
        </is>
      </c>
      <c r="B20" t="inlineStr">
        <is>
          <t>GOVERNANCE_LOG</t>
        </is>
      </c>
      <c r="C20" t="inlineStr">
        <is>
          <t>C1</t>
        </is>
      </c>
      <c r="D20" t="inlineStr">
        <is>
          <t>Regime</t>
        </is>
      </c>
    </row>
    <row r="21">
      <c r="A21" t="inlineStr">
        <is>
          <t>DYZEN_CAPITAL_OS_100_PERCENT_PDF_COMPLIANT.xlsx</t>
        </is>
      </c>
      <c r="B21" t="inlineStr">
        <is>
          <t>GOVERNANCE_LOG</t>
        </is>
      </c>
      <c r="C21" t="inlineStr">
        <is>
          <t>D1</t>
        </is>
      </c>
      <c r="D21" t="inlineStr">
        <is>
          <t>Risk Mode</t>
        </is>
      </c>
    </row>
    <row r="22">
      <c r="A22" t="inlineStr">
        <is>
          <t>DYZEN_CAPITAL_OS_100_PERCENT_PDF_COMPLIANT.xlsx</t>
        </is>
      </c>
      <c r="B22" t="inlineStr">
        <is>
          <t>GOVERNANCE_LOG</t>
        </is>
      </c>
      <c r="C22" t="inlineStr">
        <is>
          <t>H1</t>
        </is>
      </c>
      <c r="D22" t="inlineStr">
        <is>
          <t>Open Risk Status</t>
        </is>
      </c>
    </row>
    <row r="23">
      <c r="A23" t="inlineStr">
        <is>
          <t>DYZEN_CAPITAL_OS_100_PERCENT_PDF_COMPLIANT.xlsx</t>
        </is>
      </c>
      <c r="B23" t="inlineStr">
        <is>
          <t>GOVERNANCE_LOG</t>
        </is>
      </c>
      <c r="C23" t="inlineStr">
        <is>
          <t>C2</t>
        </is>
      </c>
      <c r="D23">
        <f>REGIME_ENGINE!B7</f>
        <v/>
      </c>
    </row>
    <row r="24">
      <c r="A24" t="inlineStr">
        <is>
          <t>DYZEN_CAPITAL_OS_100_PERCENT_PDF_COMPLIANT.xlsx</t>
        </is>
      </c>
      <c r="B24" t="inlineStr">
        <is>
          <t>GOVERNANCE_LOG</t>
        </is>
      </c>
      <c r="C24" t="inlineStr">
        <is>
          <t>D2</t>
        </is>
      </c>
      <c r="D24">
        <f>DRAWDOWN_ENGINE!B6</f>
        <v/>
      </c>
    </row>
    <row r="25">
      <c r="A25" t="inlineStr">
        <is>
          <t>DYZEN_CAPITAL_OS_100_PERCENT_PDF_COMPLIANT.xlsx</t>
        </is>
      </c>
      <c r="B25" t="inlineStr">
        <is>
          <t>GOVERNANCE_LOG</t>
        </is>
      </c>
      <c r="C25" t="inlineStr">
        <is>
          <t>H2</t>
        </is>
      </c>
      <c r="D25">
        <f>OPEN_RISK_ENGINE!B9</f>
        <v/>
      </c>
    </row>
    <row r="26">
      <c r="A26" t="inlineStr">
        <is>
          <t>DYZEN_CAPITAL_OS_100_PERCENT_PDF_COMPLIANT.xlsx</t>
        </is>
      </c>
      <c r="B26" t="inlineStr">
        <is>
          <t>OPEN_RISK_ENGINE</t>
        </is>
      </c>
      <c r="C26" t="inlineStr">
        <is>
          <t>A1</t>
        </is>
      </c>
      <c r="D26" t="inlineStr">
        <is>
          <t>OPEN RISK ENGINE — Portfolio Level Control</t>
        </is>
      </c>
    </row>
    <row r="27">
      <c r="A27" t="inlineStr">
        <is>
          <t>DYZEN_CAPITAL_OS_100_PERCENT_PDF_COMPLIANT.xlsx</t>
        </is>
      </c>
      <c r="B27" t="inlineStr">
        <is>
          <t>OPEN_RISK_ENGINE</t>
        </is>
      </c>
      <c r="C27" t="inlineStr">
        <is>
          <t>A3</t>
        </is>
      </c>
      <c r="D27" t="inlineStr">
        <is>
          <t>Per Trade Risk %</t>
        </is>
      </c>
    </row>
    <row r="28">
      <c r="A28" t="inlineStr">
        <is>
          <t>DYZEN_CAPITAL_OS_100_PERCENT_PDF_COMPLIANT.xlsx</t>
        </is>
      </c>
      <c r="B28" t="inlineStr">
        <is>
          <t>OPEN_RISK_ENGINE</t>
        </is>
      </c>
      <c r="C28" t="inlineStr">
        <is>
          <t>A5</t>
        </is>
      </c>
      <c r="D28" t="inlineStr">
        <is>
          <t>Current Open Risk %</t>
        </is>
      </c>
    </row>
    <row r="29">
      <c r="A29" t="inlineStr">
        <is>
          <t>DYZEN_CAPITAL_OS_100_PERCENT_PDF_COMPLIANT.xlsx</t>
        </is>
      </c>
      <c r="B29" t="inlineStr">
        <is>
          <t>OPEN_RISK_ENGINE</t>
        </is>
      </c>
      <c r="C29" t="inlineStr">
        <is>
          <t>A7</t>
        </is>
      </c>
      <c r="D29" t="inlineStr">
        <is>
          <t>Max Allowed Open Risk %</t>
        </is>
      </c>
    </row>
    <row r="30">
      <c r="A30" t="inlineStr">
        <is>
          <t>DYZEN_CAPITAL_OS_100_PERCENT_PDF_COMPLIANT.xlsx</t>
        </is>
      </c>
      <c r="B30" t="inlineStr">
        <is>
          <t>OPEN_RISK_ENGINE</t>
        </is>
      </c>
      <c r="C30" t="inlineStr">
        <is>
          <t>A9</t>
        </is>
      </c>
      <c r="D30" t="inlineStr">
        <is>
          <t>Open Risk Status</t>
        </is>
      </c>
    </row>
    <row r="31">
      <c r="A31" t="inlineStr">
        <is>
          <t>DYZEN_CAPITAL_OS_100_PERCENT_PDF_COMPLIANT.xlsx</t>
        </is>
      </c>
      <c r="B31" t="inlineStr">
        <is>
          <t>OPEN_RISK_ENGINE</t>
        </is>
      </c>
      <c r="C31" t="inlineStr">
        <is>
          <t>B9</t>
        </is>
      </c>
      <c r="D31">
        <f>IF(B5&gt;=B7,"RISK_LIMIT_REACHED","SAFE")</f>
        <v/>
      </c>
    </row>
    <row r="32">
      <c r="A32" t="inlineStr">
        <is>
          <t>DYZEN_CAPITAL_OS_100_PERCENT_PDF_COMPLIANT.xlsx</t>
        </is>
      </c>
      <c r="B32" t="inlineStr">
        <is>
          <t>MAX_LOSS_ENGINE</t>
        </is>
      </c>
      <c r="C32" t="inlineStr">
        <is>
          <t>A4</t>
        </is>
      </c>
      <c r="D32" t="inlineStr">
        <is>
          <t>Current Drawdown %</t>
        </is>
      </c>
    </row>
    <row r="33">
      <c r="A33" t="inlineStr">
        <is>
          <t>DYZEN_CAPITAL_OS_3.0_RISK_CENTRIC.xlsx</t>
        </is>
      </c>
      <c r="B33" t="inlineStr">
        <is>
          <t>INPUTS</t>
        </is>
      </c>
      <c r="C33" t="inlineStr">
        <is>
          <t>A1</t>
        </is>
      </c>
      <c r="D33" t="inlineStr">
        <is>
          <t>Capital</t>
        </is>
      </c>
    </row>
    <row r="34">
      <c r="A34" t="inlineStr">
        <is>
          <t>DYZEN_CAPITAL_OS_3.0_RISK_CENTRIC.xlsx</t>
        </is>
      </c>
      <c r="B34" t="inlineStr">
        <is>
          <t>INPUTS</t>
        </is>
      </c>
      <c r="C34" t="inlineStr">
        <is>
          <t>B1</t>
        </is>
      </c>
      <c r="D34" t="inlineStr">
        <is>
          <t>Risk Appetite</t>
        </is>
      </c>
    </row>
    <row r="35">
      <c r="A35" t="inlineStr">
        <is>
          <t>DYZEN_CAPITAL_OS_3.0_RISK_CENTRIC.xlsx</t>
        </is>
      </c>
      <c r="B35" t="inlineStr">
        <is>
          <t>RISK_ENGINE</t>
        </is>
      </c>
      <c r="C35" t="inlineStr">
        <is>
          <t>B1</t>
        </is>
      </c>
      <c r="D35" t="inlineStr">
        <is>
          <t>Base_Risk</t>
        </is>
      </c>
    </row>
    <row r="36">
      <c r="A36" t="inlineStr">
        <is>
          <t>DYZEN_CAPITAL_OS_3.0_RISK_CENTRIC.xlsx</t>
        </is>
      </c>
      <c r="B36" t="inlineStr">
        <is>
          <t>REGIME_ENGINE</t>
        </is>
      </c>
      <c r="C36" t="inlineStr">
        <is>
          <t>G1</t>
        </is>
      </c>
      <c r="D36" t="inlineStr">
        <is>
          <t>REGIME_OUTPUT</t>
        </is>
      </c>
    </row>
    <row r="37">
      <c r="A37" t="inlineStr">
        <is>
          <t>DYZEN_CAPITAL_OS_3.0_RISK_CENTRIC.xlsx</t>
        </is>
      </c>
      <c r="B37" t="inlineStr">
        <is>
          <t>VOL_ADAPTATION</t>
        </is>
      </c>
      <c r="C37" t="inlineStr">
        <is>
          <t>D2</t>
        </is>
      </c>
      <c r="D37">
        <f>RISK_CORE!F2</f>
        <v/>
      </c>
    </row>
    <row r="38">
      <c r="A38" t="inlineStr">
        <is>
          <t>DYZEN_CAPITAL_OS_3.0_RISK_CENTRIC.xlsx</t>
        </is>
      </c>
      <c r="B38" t="inlineStr">
        <is>
          <t>STRUCTURE_ENGINE</t>
        </is>
      </c>
      <c r="C38" t="inlineStr">
        <is>
          <t>B2</t>
        </is>
      </c>
      <c r="D38">
        <f>IF(AND(A2="BULLISH",REGIME_ENGINE!G2&lt;&gt;"CHOP",RISK_CORE!G2=TRUE),"BUY","WAIT")</f>
        <v/>
      </c>
    </row>
    <row r="39">
      <c r="A39" t="inlineStr">
        <is>
          <t>DYZEN_CAPITAL_OS_3.0_RISK_CENTRIC.xlsx</t>
        </is>
      </c>
      <c r="B39" t="inlineStr">
        <is>
          <t>BEAR_STRUCTURE</t>
        </is>
      </c>
      <c r="C39" t="inlineStr">
        <is>
          <t>B2</t>
        </is>
      </c>
      <c r="D39">
        <f>IF(AND(A2=TRUE,REGIME_ENGINE!G2&lt;&gt;"CHOP"),"SHORT","WAIT")</f>
        <v/>
      </c>
    </row>
    <row r="40">
      <c r="A40" t="inlineStr">
        <is>
          <t>DYZEN_CAPITAL_OS_3.0_RISK_CENTRIC.xlsx</t>
        </is>
      </c>
      <c r="B40" t="inlineStr">
        <is>
          <t>SELL_PROFILE_FIXED</t>
        </is>
      </c>
      <c r="C40" t="inlineStr">
        <is>
          <t>A1</t>
        </is>
      </c>
      <c r="D40" t="inlineStr">
        <is>
          <t>SELL_CONF</t>
        </is>
      </c>
    </row>
    <row r="41">
      <c r="A41" t="inlineStr">
        <is>
          <t>DYZEN_CAPITAL_OS_3.0_RISK_CENTRIC.xlsx</t>
        </is>
      </c>
      <c r="B41" t="inlineStr">
        <is>
          <t>SELL_PROFILE_FIXED</t>
        </is>
      </c>
      <c r="C41" t="inlineStr">
        <is>
          <t>B1</t>
        </is>
      </c>
      <c r="D41" t="inlineStr">
        <is>
          <t>SELL_ALLOWED_FINAL</t>
        </is>
      </c>
    </row>
    <row r="42">
      <c r="A42" t="inlineStr">
        <is>
          <t>DYZEN_CAPITAL_OS_3.0_RISK_CENTRIC.xlsx</t>
        </is>
      </c>
      <c r="B42" t="inlineStr">
        <is>
          <t>JOURNAL</t>
        </is>
      </c>
      <c r="C42" t="inlineStr">
        <is>
          <t>C1</t>
        </is>
      </c>
      <c r="D42" t="inlineStr">
        <is>
          <t>Regime</t>
        </is>
      </c>
    </row>
    <row r="43">
      <c r="A43" t="inlineStr">
        <is>
          <t>DYZEN_CAPITAL_OS_3.0_RISK_CENTRIC.xlsx</t>
        </is>
      </c>
      <c r="B43" t="inlineStr">
        <is>
          <t>RISK_CORE</t>
        </is>
      </c>
      <c r="C43" t="inlineStr">
        <is>
          <t>B1</t>
        </is>
      </c>
      <c r="D43" t="inlineStr">
        <is>
          <t>Base_Risk_%</t>
        </is>
      </c>
    </row>
    <row r="44">
      <c r="A44" t="inlineStr">
        <is>
          <t>DYZEN_CAPITAL_OS_3.0_RISK_CENTRIC.xlsx</t>
        </is>
      </c>
      <c r="B44" t="inlineStr">
        <is>
          <t>RISK_CORE</t>
        </is>
      </c>
      <c r="C44" t="inlineStr">
        <is>
          <t>C1</t>
        </is>
      </c>
      <c r="D44" t="inlineStr">
        <is>
          <t>Regime_Multiplier</t>
        </is>
      </c>
    </row>
    <row r="45">
      <c r="A45" t="inlineStr">
        <is>
          <t>DYZEN_CAPITAL_OS_3.0_RISK_CENTRIC.xlsx</t>
        </is>
      </c>
      <c r="B45" t="inlineStr">
        <is>
          <t>RISK_CORE</t>
        </is>
      </c>
      <c r="C45" t="inlineStr">
        <is>
          <t>E1</t>
        </is>
      </c>
      <c r="D45" t="inlineStr">
        <is>
          <t>Drawdown_Adjustment</t>
        </is>
      </c>
    </row>
    <row r="46">
      <c r="A46" t="inlineStr">
        <is>
          <t>DYZEN_CAPITAL_OS_3.0_RISK_CENTRIC.xlsx</t>
        </is>
      </c>
      <c r="B46" t="inlineStr">
        <is>
          <t>RISK_CORE</t>
        </is>
      </c>
      <c r="C46" t="inlineStr">
        <is>
          <t>H1</t>
        </is>
      </c>
      <c r="D46" t="inlineStr">
        <is>
          <t>Risk_State</t>
        </is>
      </c>
    </row>
    <row r="47">
      <c r="A47" t="inlineStr">
        <is>
          <t>DYZEN_CAPITAL_OS_3.0_RISK_CENTRIC.xlsx</t>
        </is>
      </c>
      <c r="B47" t="inlineStr">
        <is>
          <t>RISK_CORE</t>
        </is>
      </c>
      <c r="C47" t="inlineStr">
        <is>
          <t>C2</t>
        </is>
      </c>
      <c r="D47">
        <f>IF(REGIME_ENGINE!G2="TREND",1,IF(REGIME_ENGINE!G2="EXPANSION",1.2,0.5))</f>
        <v/>
      </c>
    </row>
    <row r="48">
      <c r="A48" t="inlineStr">
        <is>
          <t>DYZEN_CAPITAL_OS_3.0_RISK_CENTRIC.xlsx</t>
        </is>
      </c>
      <c r="B48" t="inlineStr">
        <is>
          <t>RISK_CORE</t>
        </is>
      </c>
      <c r="C48" t="inlineStr">
        <is>
          <t>E2</t>
        </is>
      </c>
      <c r="D48">
        <f>IF(RISK_ENGINE!C2/A2&gt;0.05,0.5,1)</f>
        <v/>
      </c>
    </row>
    <row r="49">
      <c r="A49" t="inlineStr">
        <is>
          <t>DYZEN_CAPITAL_OS_3.0_RISK_CENTRIC.xlsx</t>
        </is>
      </c>
      <c r="B49" t="inlineStr">
        <is>
          <t>EXIT_DISCIPLINE</t>
        </is>
      </c>
      <c r="C49" t="inlineStr">
        <is>
          <t>C1</t>
        </is>
      </c>
      <c r="D49" t="inlineStr">
        <is>
          <t>Risk_Warning</t>
        </is>
      </c>
    </row>
    <row r="50">
      <c r="A50" t="inlineStr">
        <is>
          <t>DYZEN_CAPITAL_OS_3.0_RISK_CENTRIC.xlsx</t>
        </is>
      </c>
      <c r="B50" t="inlineStr">
        <is>
          <t>EXIT_DISCIPLINE</t>
        </is>
      </c>
      <c r="C50" t="inlineStr">
        <is>
          <t>C2</t>
        </is>
      </c>
      <c r="D50">
        <f>RISK_CORE!H2="DEFENSIVE"</f>
        <v/>
      </c>
    </row>
    <row r="51">
      <c r="A51" t="inlineStr">
        <is>
          <t>DYZEN_CAPITAL_OS_3.0_MASTER.xlsx</t>
        </is>
      </c>
      <c r="B51" t="inlineStr">
        <is>
          <t>README</t>
        </is>
      </c>
      <c r="C51" t="inlineStr">
        <is>
          <t>A1</t>
        </is>
      </c>
      <c r="D51" t="inlineStr">
        <is>
          <t>DYZEN CAPITAL OS 3.0 - UNIFIED BRAIN SYSTEM</t>
        </is>
      </c>
    </row>
    <row r="52">
      <c r="A52" t="inlineStr">
        <is>
          <t>DYZEN_CAPITAL_OS_3.0_MASTER.xlsx</t>
        </is>
      </c>
      <c r="B52" t="inlineStr">
        <is>
          <t>INPUTS</t>
        </is>
      </c>
      <c r="C52" t="inlineStr">
        <is>
          <t>A1</t>
        </is>
      </c>
      <c r="D52" t="inlineStr">
        <is>
          <t>Capital</t>
        </is>
      </c>
    </row>
    <row r="53">
      <c r="A53" t="inlineStr">
        <is>
          <t>DYZEN_CAPITAL_OS_3.0_MASTER.xlsx</t>
        </is>
      </c>
      <c r="B53" t="inlineStr">
        <is>
          <t>INPUTS</t>
        </is>
      </c>
      <c r="C53" t="inlineStr">
        <is>
          <t>B1</t>
        </is>
      </c>
      <c r="D53" t="inlineStr">
        <is>
          <t>Risk Appetite</t>
        </is>
      </c>
    </row>
    <row r="54">
      <c r="A54" t="inlineStr">
        <is>
          <t>DYZEN_CAPITAL_OS_3.0_MASTER.xlsx</t>
        </is>
      </c>
      <c r="B54" t="inlineStr">
        <is>
          <t>REGIME_ENGINE</t>
        </is>
      </c>
      <c r="C54" t="inlineStr">
        <is>
          <t>D1</t>
        </is>
      </c>
      <c r="D54" t="inlineStr">
        <is>
          <t>REGIME_OUTPUT</t>
        </is>
      </c>
    </row>
    <row r="55">
      <c r="A55" t="inlineStr">
        <is>
          <t>DYZEN_CAPITAL_OS_3.0_MASTER.xlsx</t>
        </is>
      </c>
      <c r="B55" t="inlineStr">
        <is>
          <t>LIQUIDITY_MAP</t>
        </is>
      </c>
      <c r="C55" t="inlineStr">
        <is>
          <t>A2</t>
        </is>
      </c>
      <c r="D55">
        <f>IF(DATA_PRICES!A2&lt;DATA_PRICES!H2,"SELL_ZONE","BUY_ZONE")</f>
        <v/>
      </c>
    </row>
    <row r="56">
      <c r="A56" t="inlineStr">
        <is>
          <t>DYZEN_CAPITAL_OS_3.0_MASTER.xlsx</t>
        </is>
      </c>
      <c r="B56" t="inlineStr">
        <is>
          <t>STRUCTURE_ENGINE</t>
        </is>
      </c>
      <c r="C56" t="inlineStr">
        <is>
          <t>B2</t>
        </is>
      </c>
      <c r="D56">
        <f>IF(AND(A2="BULLISH",REGIME_ENGINE!D2="TREND"),"BUY","WAIT")</f>
        <v/>
      </c>
    </row>
    <row r="57">
      <c r="A57" t="inlineStr">
        <is>
          <t>DYZEN_CAPITAL_OS_3.0_MASTER.xlsx</t>
        </is>
      </c>
      <c r="B57" t="inlineStr">
        <is>
          <t>RISK_ENGINE</t>
        </is>
      </c>
      <c r="C57" t="inlineStr">
        <is>
          <t>B1</t>
        </is>
      </c>
      <c r="D57" t="inlineStr">
        <is>
          <t>Base_Risk</t>
        </is>
      </c>
    </row>
    <row r="58">
      <c r="A58" t="inlineStr">
        <is>
          <t>DYZEN_CAPITAL_OS_3.0_MASTER.xlsx</t>
        </is>
      </c>
      <c r="B58" t="inlineStr">
        <is>
          <t>RISK_ENGINE_2</t>
        </is>
      </c>
      <c r="C58" t="inlineStr">
        <is>
          <t>A2</t>
        </is>
      </c>
      <c r="D58">
        <f>RISK_ENGINE!C2</f>
        <v/>
      </c>
    </row>
    <row r="59">
      <c r="A59" t="inlineStr">
        <is>
          <t>DYZEN_CAPITAL_OS_3.0_MASTER.xlsx</t>
        </is>
      </c>
      <c r="B59" t="inlineStr">
        <is>
          <t>PSYCHO</t>
        </is>
      </c>
      <c r="C59" t="inlineStr">
        <is>
          <t>A1</t>
        </is>
      </c>
      <c r="D59" t="inlineStr">
        <is>
          <t>Confidence</t>
        </is>
      </c>
    </row>
    <row r="60">
      <c r="A60" t="inlineStr">
        <is>
          <t>DYZEN_CAPITAL_OS_3.0_MASTER.xlsx</t>
        </is>
      </c>
      <c r="B60" t="inlineStr">
        <is>
          <t>SELL_PROFILE</t>
        </is>
      </c>
      <c r="C60" t="inlineStr">
        <is>
          <t>A1</t>
        </is>
      </c>
      <c r="D60" t="inlineStr">
        <is>
          <t>BUY_CONFIDENCE_MIN</t>
        </is>
      </c>
    </row>
    <row r="61">
      <c r="A61" t="inlineStr">
        <is>
          <t>DYZEN_CAPITAL_OS_3.0_MASTER.xlsx</t>
        </is>
      </c>
      <c r="B61" t="inlineStr">
        <is>
          <t>SELL_PROFILE</t>
        </is>
      </c>
      <c r="C61" t="inlineStr">
        <is>
          <t>B1</t>
        </is>
      </c>
      <c r="D61" t="inlineStr">
        <is>
          <t>SELL_CONFIDENCE_MIN</t>
        </is>
      </c>
    </row>
    <row r="62">
      <c r="A62" t="inlineStr">
        <is>
          <t>DYZEN_CAPITAL_OS_3.0_MASTER.xlsx</t>
        </is>
      </c>
      <c r="B62" t="inlineStr">
        <is>
          <t>SELL_PROFILE_FIXED</t>
        </is>
      </c>
      <c r="C62" t="inlineStr">
        <is>
          <t>A1</t>
        </is>
      </c>
      <c r="D62" t="inlineStr">
        <is>
          <t>SELL_ALLOWED_FINAL</t>
        </is>
      </c>
    </row>
    <row r="63">
      <c r="A63" t="inlineStr">
        <is>
          <t>DYZEN_CAPITAL_OS_3.0_MASTER.xlsx</t>
        </is>
      </c>
      <c r="B63" t="inlineStr">
        <is>
          <t>JOURNAL</t>
        </is>
      </c>
      <c r="C63" t="inlineStr">
        <is>
          <t>C1</t>
        </is>
      </c>
      <c r="D63" t="inlineStr">
        <is>
          <t>Regime</t>
        </is>
      </c>
    </row>
    <row r="64">
      <c r="A64" t="inlineStr">
        <is>
          <t>DYZEN_CAPITAL_OS_3.0_MASTER.xlsx</t>
        </is>
      </c>
      <c r="B64" t="inlineStr">
        <is>
          <t>DASHBOARD</t>
        </is>
      </c>
      <c r="C64" t="inlineStr">
        <is>
          <t>A2</t>
        </is>
      </c>
      <c r="D64" t="inlineStr">
        <is>
          <t>Current Regime</t>
        </is>
      </c>
    </row>
    <row r="65">
      <c r="A65" t="inlineStr">
        <is>
          <t>DYZEN_CAPITAL_OS_3.0_MASTER.xlsx</t>
        </is>
      </c>
      <c r="B65" t="inlineStr">
        <is>
          <t>DASHBOARD</t>
        </is>
      </c>
      <c r="C65" t="inlineStr">
        <is>
          <t>B2</t>
        </is>
      </c>
      <c r="D65">
        <f>REGIME_ENGINE!D2</f>
        <v/>
      </c>
    </row>
    <row r="66">
      <c r="A66" t="inlineStr">
        <is>
          <t>DYZEN_Capital_OS_PilotFund_FILLED_EXAMPLE (1).xlsx</t>
        </is>
      </c>
      <c r="B66" t="inlineStr">
        <is>
          <t>README</t>
        </is>
      </c>
      <c r="C66" t="inlineStr">
        <is>
          <t>B6</t>
        </is>
      </c>
      <c r="D66" t="inlineStr">
        <is>
          <t>3) Use 'ROUND_SIMULATOR' to see how valuation can evolve across Seed → A → B → C as risk decreases.</t>
        </is>
      </c>
    </row>
    <row r="67">
      <c r="A67" t="inlineStr">
        <is>
          <t>DYZEN_Capital_OS_PilotFund_FILLED_EXAMPLE (1).xlsx</t>
        </is>
      </c>
      <c r="B67" t="inlineStr">
        <is>
          <t>README</t>
        </is>
      </c>
      <c r="C67" t="inlineStr">
        <is>
          <t>B9</t>
        </is>
      </c>
      <c r="D67" t="inlineStr">
        <is>
          <t>• This model is a structured decision engine: it blends Exit potential, Dominance, Execution, Risk, and Required Return.</t>
        </is>
      </c>
    </row>
    <row r="68">
      <c r="A68" t="inlineStr">
        <is>
          <t>DYZEN_Capital_OS_PilotFund_FILLED_EXAMPLE (1).xlsx</t>
        </is>
      </c>
      <c r="B68" t="inlineStr">
        <is>
          <t>README</t>
        </is>
      </c>
      <c r="C68" t="inlineStr">
        <is>
          <t>B10</t>
        </is>
      </c>
      <c r="D68" t="inlineStr">
        <is>
          <t>• All weights and stage multiples are editable. Default weights are opinionated but reasonable starting points.</t>
        </is>
      </c>
    </row>
    <row r="69">
      <c r="A69" t="inlineStr">
        <is>
          <t>DYZEN_Capital_OS_PilotFund_FILLED_EXAMPLE (1).xlsx</t>
        </is>
      </c>
      <c r="B69" t="inlineStr">
        <is>
          <t>README</t>
        </is>
      </c>
      <c r="C69" t="inlineStr">
        <is>
          <t>B11</t>
        </is>
      </c>
      <c r="D69" t="inlineStr">
        <is>
          <t>• The model produces a range and scenario-weighted expected values; it is not a single 'true' price.</t>
        </is>
      </c>
    </row>
    <row r="70">
      <c r="A70" t="inlineStr">
        <is>
          <t>DYZEN_Capital_OS_PilotFund_FILLED_EXAMPLE (1).xlsx</t>
        </is>
      </c>
      <c r="B70" t="inlineStr">
        <is>
          <t>PILOT_FUND_DASHBOARD</t>
        </is>
      </c>
      <c r="C70" t="inlineStr">
        <is>
          <t>A1</t>
        </is>
      </c>
      <c r="D70" t="inlineStr">
        <is>
          <t>DYZEN CAPITAL OS — PILOT FUND DASHBOARD</t>
        </is>
      </c>
    </row>
    <row r="71">
      <c r="A71" t="inlineStr">
        <is>
          <t>DYZEN_Capital_OS_PilotFund_FILLED_EXAMPLE (1).xlsx</t>
        </is>
      </c>
      <c r="B71" t="inlineStr">
        <is>
          <t>PILOT_FUND_DASHBOARD</t>
        </is>
      </c>
      <c r="C71" t="inlineStr">
        <is>
          <t>A5</t>
        </is>
      </c>
      <c r="D71" t="inlineStr">
        <is>
          <t>Total Capital</t>
        </is>
      </c>
    </row>
    <row r="72">
      <c r="A72" t="inlineStr">
        <is>
          <t>DYZEN_Capital_OS_PilotFund_FILLED_EXAMPLE (1).xlsx</t>
        </is>
      </c>
      <c r="B72" t="inlineStr">
        <is>
          <t>PILOT_FUND_DASHBOARD</t>
        </is>
      </c>
      <c r="C72" t="inlineStr">
        <is>
          <t>C9</t>
        </is>
      </c>
      <c r="D72" t="inlineStr">
        <is>
          <t>Risk</t>
        </is>
      </c>
    </row>
    <row r="73">
      <c r="A73" t="inlineStr">
        <is>
          <t>DYZEN_Capital_OS_PilotFund_FILLED_EXAMPLE (1).xlsx</t>
        </is>
      </c>
      <c r="B73" t="inlineStr">
        <is>
          <t>PILOT_FUND_DASHBOARD</t>
        </is>
      </c>
      <c r="C73" t="inlineStr">
        <is>
          <t>C10</t>
        </is>
      </c>
      <c r="D73">
        <f>RISK_ENGINE!B18</f>
        <v/>
      </c>
    </row>
    <row r="74">
      <c r="A74" t="inlineStr">
        <is>
          <t>DYZEN_Capital_OS_PilotFund_FILLED_EXAMPLE (1).xlsx</t>
        </is>
      </c>
      <c r="B74" t="inlineStr">
        <is>
          <t>PILOT_FUND_DASHBOARD</t>
        </is>
      </c>
      <c r="C74" t="inlineStr">
        <is>
          <t>G14</t>
        </is>
      </c>
      <c r="D74" t="inlineStr">
        <is>
          <t>Risk</t>
        </is>
      </c>
    </row>
    <row r="75">
      <c r="A75" t="inlineStr">
        <is>
          <t>DYZEN_Capital_OS_PilotFund_FILLED_EXAMPLE (1).xlsx</t>
        </is>
      </c>
      <c r="B75" t="inlineStr">
        <is>
          <t>PILOT_FUND_DASHBOARD</t>
        </is>
      </c>
      <c r="C75" t="inlineStr">
        <is>
          <t>A27</t>
        </is>
      </c>
      <c r="D75" t="inlineStr">
        <is>
          <t>Write investor-facing notes here (monthly updates, risk events, allocation decisions).</t>
        </is>
      </c>
    </row>
    <row r="76">
      <c r="A76" t="inlineStr">
        <is>
          <t>DYZEN_Capital_OS_PilotFund_FILLED_EXAMPLE (1).xlsx</t>
        </is>
      </c>
      <c r="B76" t="inlineStr">
        <is>
          <t>TREASURY_CORE</t>
        </is>
      </c>
      <c r="C76" t="inlineStr">
        <is>
          <t>A1</t>
        </is>
      </c>
      <c r="D76" t="inlineStr">
        <is>
          <t>DYZEN CAPITAL OS — TREASURY_CORE</t>
        </is>
      </c>
    </row>
    <row r="77">
      <c r="A77" t="inlineStr">
        <is>
          <t>DYZEN_Capital_OS_PilotFund_FILLED_EXAMPLE (1).xlsx</t>
        </is>
      </c>
      <c r="B77" t="inlineStr">
        <is>
          <t>TREASURY_CORE</t>
        </is>
      </c>
      <c r="C77" t="inlineStr">
        <is>
          <t>A5</t>
        </is>
      </c>
      <c r="D77" t="inlineStr">
        <is>
          <t>Total Capital (USD)</t>
        </is>
      </c>
    </row>
    <row r="78">
      <c r="A78" t="inlineStr">
        <is>
          <t>DYZEN_Capital_OS_PilotFund_FILLED_EXAMPLE (1).xlsx</t>
        </is>
      </c>
      <c r="B78" t="inlineStr">
        <is>
          <t>TREASURY_CORE</t>
        </is>
      </c>
      <c r="C78" t="inlineStr">
        <is>
          <t>A12</t>
        </is>
      </c>
      <c r="D78" t="inlineStr">
        <is>
          <t>Allocated Capital (USD)</t>
        </is>
      </c>
    </row>
    <row r="79">
      <c r="A79" t="inlineStr">
        <is>
          <t>DYZEN_Capital_OS_PilotFund_FILLED_EXAMPLE (1).xlsx</t>
        </is>
      </c>
      <c r="B79" t="inlineStr">
        <is>
          <t>PORTFOLIO_CORE</t>
        </is>
      </c>
      <c r="C79" t="inlineStr">
        <is>
          <t>A1</t>
        </is>
      </c>
      <c r="D79" t="inlineStr">
        <is>
          <t>DYZEN CAPITAL OS — PORTFOLIO_CORE</t>
        </is>
      </c>
    </row>
    <row r="80">
      <c r="A80" t="inlineStr">
        <is>
          <t>DYZEN_Capital_OS_PilotFund_FILLED_EXAMPLE (1).xlsx</t>
        </is>
      </c>
      <c r="B80" t="inlineStr">
        <is>
          <t>PORTFOLIO_CORE</t>
        </is>
      </c>
      <c r="C80" t="inlineStr">
        <is>
          <t>A3</t>
        </is>
      </c>
      <c r="D80" t="inlineStr">
        <is>
          <t>Portfolio Table (add startups here)</t>
        </is>
      </c>
    </row>
    <row r="81">
      <c r="A81" t="inlineStr">
        <is>
          <t>DYZEN_Capital_OS_PilotFund_FILLED_EXAMPLE (1).xlsx</t>
        </is>
      </c>
      <c r="B81" t="inlineStr">
        <is>
          <t>PORTFOLIO_CORE</t>
        </is>
      </c>
      <c r="C81" t="inlineStr">
        <is>
          <t>K5</t>
        </is>
      </c>
      <c r="D81" t="inlineStr">
        <is>
          <t>Risk (0-100)</t>
        </is>
      </c>
    </row>
    <row r="82">
      <c r="A82" t="inlineStr">
        <is>
          <t>DYZEN_Capital_OS_PilotFund_FILLED_EXAMPLE (1).xlsx</t>
        </is>
      </c>
      <c r="B82" t="inlineStr">
        <is>
          <t>PORTFOLIO_CORE</t>
        </is>
      </c>
      <c r="C82" t="inlineStr">
        <is>
          <t>M6</t>
        </is>
      </c>
      <c r="D82">
        <f>IF(OR(K6&gt;=RISK_ENGINE!$B$7,L6&lt;=RISK_ENGINE!$B$8),"FROZEN","ACTIVE")</f>
        <v/>
      </c>
    </row>
    <row r="83">
      <c r="A83" t="inlineStr">
        <is>
          <t>DYZEN_Capital_OS_PilotFund_FILLED_EXAMPLE (1).xlsx</t>
        </is>
      </c>
      <c r="B83" t="inlineStr">
        <is>
          <t>PORTFOLIO_CORE</t>
        </is>
      </c>
      <c r="C83" t="inlineStr">
        <is>
          <t>N6</t>
        </is>
      </c>
      <c r="D83">
        <f>IF(M6="FROZEN","STOP",IF(AND(J6&gt;=RISK_ENGINE!$B$9,I6&gt;=RISK_ENGINE!$B$10),"RE-UP","HOLD"))</f>
        <v/>
      </c>
    </row>
    <row r="84">
      <c r="A84" t="inlineStr">
        <is>
          <t>DYZEN_Capital_OS_PilotFund_FILLED_EXAMPLE (1).xlsx</t>
        </is>
      </c>
      <c r="B84" t="inlineStr">
        <is>
          <t>PORTFOLIO_CORE</t>
        </is>
      </c>
      <c r="C84" t="inlineStr">
        <is>
          <t>M7</t>
        </is>
      </c>
      <c r="D84">
        <f>IF(OR(K7&gt;=RISK_ENGINE!$B$7,L7&lt;=RISK_ENGINE!$B$8),"FROZEN","ACTIVE")</f>
        <v/>
      </c>
    </row>
    <row r="85">
      <c r="A85" t="inlineStr">
        <is>
          <t>DYZEN_Capital_OS_PilotFund_FILLED_EXAMPLE (1).xlsx</t>
        </is>
      </c>
      <c r="B85" t="inlineStr">
        <is>
          <t>PORTFOLIO_CORE</t>
        </is>
      </c>
      <c r="C85" t="inlineStr">
        <is>
          <t>N7</t>
        </is>
      </c>
      <c r="D85">
        <f>IF(M7="FROZEN","STOP",IF(AND(J7&gt;=RISK_ENGINE!$B$9,I7&gt;=RISK_ENGINE!$B$10),"RE-UP","HOLD"))</f>
        <v/>
      </c>
    </row>
    <row r="86">
      <c r="A86" t="inlineStr">
        <is>
          <t>DYZEN_Capital_OS_PilotFund_FILLED_EXAMPLE (1).xlsx</t>
        </is>
      </c>
      <c r="B86" t="inlineStr">
        <is>
          <t>PORTFOLIO_CORE</t>
        </is>
      </c>
      <c r="C86" t="inlineStr">
        <is>
          <t>M8</t>
        </is>
      </c>
      <c r="D86">
        <f>IF(OR(K8&gt;=RISK_ENGINE!$B$7,L8&lt;=RISK_ENGINE!$B$8),"FROZEN","ACTIVE")</f>
        <v/>
      </c>
    </row>
    <row r="87">
      <c r="A87" t="inlineStr">
        <is>
          <t>DYZEN_Capital_OS_PilotFund_FILLED_EXAMPLE (1).xlsx</t>
        </is>
      </c>
      <c r="B87" t="inlineStr">
        <is>
          <t>PORTFOLIO_CORE</t>
        </is>
      </c>
      <c r="C87" t="inlineStr">
        <is>
          <t>N8</t>
        </is>
      </c>
      <c r="D87">
        <f>IF(M8="FROZEN","STOP",IF(AND(J8&gt;=RISK_ENGINE!$B$9,I8&gt;=RISK_ENGINE!$B$10),"RE-UP","HOLD"))</f>
        <v/>
      </c>
    </row>
    <row r="88">
      <c r="A88" t="inlineStr">
        <is>
          <t>DYZEN_Capital_OS_PilotFund_FILLED_EXAMPLE (1).xlsx</t>
        </is>
      </c>
      <c r="B88" t="inlineStr">
        <is>
          <t>PORTFOLIO_CORE</t>
        </is>
      </c>
      <c r="C88" t="inlineStr">
        <is>
          <t>M9</t>
        </is>
      </c>
      <c r="D88">
        <f>IF(OR(K9&gt;=RISK_ENGINE!$B$7,L9&lt;=RISK_ENGINE!$B$8),"FROZEN","ACTIVE")</f>
        <v/>
      </c>
    </row>
    <row r="89">
      <c r="A89" t="inlineStr">
        <is>
          <t>DYZEN_Capital_OS_PilotFund_FILLED_EXAMPLE (1).xlsx</t>
        </is>
      </c>
      <c r="B89" t="inlineStr">
        <is>
          <t>PORTFOLIO_CORE</t>
        </is>
      </c>
      <c r="C89" t="inlineStr">
        <is>
          <t>N9</t>
        </is>
      </c>
      <c r="D89">
        <f>IF(M9="FROZEN","STOP",IF(AND(J9&gt;=RISK_ENGINE!$B$9,I9&gt;=RISK_ENGINE!$B$10),"RE-UP","HOLD"))</f>
        <v/>
      </c>
    </row>
    <row r="90">
      <c r="A90" t="inlineStr">
        <is>
          <t>DYZEN_Capital_OS_PilotFund_FILLED_EXAMPLE (1).xlsx</t>
        </is>
      </c>
      <c r="B90" t="inlineStr">
        <is>
          <t>PORTFOLIO_CORE</t>
        </is>
      </c>
      <c r="C90" t="inlineStr">
        <is>
          <t>M10</t>
        </is>
      </c>
      <c r="D90">
        <f>IF(OR(K10&gt;=RISK_ENGINE!$B$7,L10&lt;=RISK_ENGINE!$B$8),"FROZEN","ACTIVE")</f>
        <v/>
      </c>
    </row>
    <row r="91">
      <c r="A91" t="inlineStr">
        <is>
          <t>DYZEN_Capital_OS_PilotFund_FILLED_EXAMPLE (1).xlsx</t>
        </is>
      </c>
      <c r="B91" t="inlineStr">
        <is>
          <t>PORTFOLIO_CORE</t>
        </is>
      </c>
      <c r="C91" t="inlineStr">
        <is>
          <t>N10</t>
        </is>
      </c>
      <c r="D91">
        <f>IF(M10="FROZEN","STOP",IF(AND(J10&gt;=RISK_ENGINE!$B$9,I10&gt;=RISK_ENGINE!$B$10),"RE-UP","HOLD"))</f>
        <v/>
      </c>
    </row>
    <row r="92">
      <c r="A92" t="inlineStr">
        <is>
          <t>DYZEN_Capital_OS_PilotFund_FILLED_EXAMPLE (1).xlsx</t>
        </is>
      </c>
      <c r="B92" t="inlineStr">
        <is>
          <t>PORTFOLIO_CORE</t>
        </is>
      </c>
      <c r="C92" t="inlineStr">
        <is>
          <t>M11</t>
        </is>
      </c>
      <c r="D92">
        <f>IF(OR(K11&gt;=RISK_ENGINE!$B$7,L11&lt;=RISK_ENGINE!$B$8),"FROZEN","ACTIVE")</f>
        <v/>
      </c>
    </row>
    <row r="93">
      <c r="A93" t="inlineStr">
        <is>
          <t>DYZEN_Capital_OS_PilotFund_FILLED_EXAMPLE (1).xlsx</t>
        </is>
      </c>
      <c r="B93" t="inlineStr">
        <is>
          <t>PORTFOLIO_CORE</t>
        </is>
      </c>
      <c r="C93" t="inlineStr">
        <is>
          <t>N11</t>
        </is>
      </c>
      <c r="D93">
        <f>IF(M11="FROZEN","STOP",IF(AND(J11&gt;=RISK_ENGINE!$B$9,I11&gt;=RISK_ENGINE!$B$10),"RE-UP","HOLD"))</f>
        <v/>
      </c>
    </row>
    <row r="94">
      <c r="A94" t="inlineStr">
        <is>
          <t>DYZEN_Capital_OS_PilotFund_FILLED_EXAMPLE (1).xlsx</t>
        </is>
      </c>
      <c r="B94" t="inlineStr">
        <is>
          <t>PORTFOLIO_CORE</t>
        </is>
      </c>
      <c r="C94" t="inlineStr">
        <is>
          <t>M12</t>
        </is>
      </c>
      <c r="D94">
        <f>IF(OR(K12&gt;=RISK_ENGINE!$B$7,L12&lt;=RISK_ENGINE!$B$8),"FROZEN","ACTIVE")</f>
        <v/>
      </c>
    </row>
    <row r="95">
      <c r="A95" t="inlineStr">
        <is>
          <t>DYZEN_Capital_OS_PilotFund_FILLED_EXAMPLE (1).xlsx</t>
        </is>
      </c>
      <c r="B95" t="inlineStr">
        <is>
          <t>PORTFOLIO_CORE</t>
        </is>
      </c>
      <c r="C95" t="inlineStr">
        <is>
          <t>N12</t>
        </is>
      </c>
      <c r="D95">
        <f>IF(M12="FROZEN","STOP",IF(AND(J12&gt;=RISK_ENGINE!$B$9,I12&gt;=RISK_ENGINE!$B$10),"RE-UP","HOLD"))</f>
        <v/>
      </c>
    </row>
    <row r="96">
      <c r="A96" t="inlineStr">
        <is>
          <t>DYZEN_Capital_OS_PilotFund_FILLED_EXAMPLE (1).xlsx</t>
        </is>
      </c>
      <c r="B96" t="inlineStr">
        <is>
          <t>PORTFOLIO_CORE</t>
        </is>
      </c>
      <c r="C96" t="inlineStr">
        <is>
          <t>M13</t>
        </is>
      </c>
      <c r="D96">
        <f>IF(OR(K13&gt;=RISK_ENGINE!$B$7,L13&lt;=RISK_ENGINE!$B$8),"FROZEN","ACTIVE")</f>
        <v/>
      </c>
    </row>
    <row r="97">
      <c r="A97" t="inlineStr">
        <is>
          <t>DYZEN_Capital_OS_PilotFund_FILLED_EXAMPLE (1).xlsx</t>
        </is>
      </c>
      <c r="B97" t="inlineStr">
        <is>
          <t>PORTFOLIO_CORE</t>
        </is>
      </c>
      <c r="C97" t="inlineStr">
        <is>
          <t>N13</t>
        </is>
      </c>
      <c r="D97">
        <f>IF(M13="FROZEN","STOP",IF(AND(J13&gt;=RISK_ENGINE!$B$9,I13&gt;=RISK_ENGINE!$B$10),"RE-UP","HOLD"))</f>
        <v/>
      </c>
    </row>
    <row r="98">
      <c r="A98" t="inlineStr">
        <is>
          <t>DYZEN_Capital_OS_PilotFund_FILLED_EXAMPLE (1).xlsx</t>
        </is>
      </c>
      <c r="B98" t="inlineStr">
        <is>
          <t>PORTFOLIO_CORE</t>
        </is>
      </c>
      <c r="C98" t="inlineStr">
        <is>
          <t>M14</t>
        </is>
      </c>
      <c r="D98">
        <f>IF(OR(K14&gt;=RISK_ENGINE!$B$7,L14&lt;=RISK_ENGINE!$B$8),"FROZEN","ACTIVE")</f>
        <v/>
      </c>
    </row>
    <row r="99">
      <c r="A99" t="inlineStr">
        <is>
          <t>DYZEN_Capital_OS_PilotFund_FILLED_EXAMPLE (1).xlsx</t>
        </is>
      </c>
      <c r="B99" t="inlineStr">
        <is>
          <t>PORTFOLIO_CORE</t>
        </is>
      </c>
      <c r="C99" t="inlineStr">
        <is>
          <t>N14</t>
        </is>
      </c>
      <c r="D99">
        <f>IF(M14="FROZEN","STOP",IF(AND(J14&gt;=RISK_ENGINE!$B$9,I14&gt;=RISK_ENGINE!$B$10),"RE-UP","HOLD"))</f>
        <v/>
      </c>
    </row>
    <row r="100">
      <c r="A100" t="inlineStr">
        <is>
          <t>DYZEN_Capital_OS_PilotFund_FILLED_EXAMPLE (1).xlsx</t>
        </is>
      </c>
      <c r="B100" t="inlineStr">
        <is>
          <t>PORTFOLIO_CORE</t>
        </is>
      </c>
      <c r="C100" t="inlineStr">
        <is>
          <t>M15</t>
        </is>
      </c>
      <c r="D100">
        <f>IF(OR(K15&gt;=RISK_ENGINE!$B$7,L15&lt;=RISK_ENGINE!$B$8),"FROZEN","ACTIVE")</f>
        <v/>
      </c>
    </row>
    <row r="101">
      <c r="A101" t="inlineStr">
        <is>
          <t>DYZEN_Capital_OS_PilotFund_FILLED_EXAMPLE (1).xlsx</t>
        </is>
      </c>
      <c r="B101" t="inlineStr">
        <is>
          <t>PORTFOLIO_CORE</t>
        </is>
      </c>
      <c r="C101" t="inlineStr">
        <is>
          <t>N15</t>
        </is>
      </c>
      <c r="D101">
        <f>IF(M15="FROZEN","STOP",IF(AND(J15&gt;=RISK_ENGINE!$B$9,I15&gt;=RISK_ENGINE!$B$10),"RE-UP","HOLD"))</f>
        <v/>
      </c>
    </row>
    <row r="102">
      <c r="A102" t="inlineStr">
        <is>
          <t>DYZEN_Capital_OS_PilotFund_FILLED_EXAMPLE (1).xlsx</t>
        </is>
      </c>
      <c r="B102" t="inlineStr">
        <is>
          <t>PORTFOLIO_CORE</t>
        </is>
      </c>
      <c r="C102" t="inlineStr">
        <is>
          <t>M16</t>
        </is>
      </c>
      <c r="D102">
        <f>IF(OR(K16&gt;=RISK_ENGINE!$B$7,L16&lt;=RISK_ENGINE!$B$8),"FROZEN","ACTIVE")</f>
        <v/>
      </c>
    </row>
    <row r="103">
      <c r="A103" t="inlineStr">
        <is>
          <t>DYZEN_Capital_OS_PilotFund_FILLED_EXAMPLE (1).xlsx</t>
        </is>
      </c>
      <c r="B103" t="inlineStr">
        <is>
          <t>PORTFOLIO_CORE</t>
        </is>
      </c>
      <c r="C103" t="inlineStr">
        <is>
          <t>N16</t>
        </is>
      </c>
      <c r="D103">
        <f>IF(M16="FROZEN","STOP",IF(AND(J16&gt;=RISK_ENGINE!$B$9,I16&gt;=RISK_ENGINE!$B$10),"RE-UP","HOLD"))</f>
        <v/>
      </c>
    </row>
    <row r="104">
      <c r="A104" t="inlineStr">
        <is>
          <t>DYZEN_Capital_OS_PilotFund_FILLED_EXAMPLE (1).xlsx</t>
        </is>
      </c>
      <c r="B104" t="inlineStr">
        <is>
          <t>PORTFOLIO_CORE</t>
        </is>
      </c>
      <c r="C104" t="inlineStr">
        <is>
          <t>M17</t>
        </is>
      </c>
      <c r="D104">
        <f>IF(OR(K17&gt;=RISK_ENGINE!$B$7,L17&lt;=RISK_ENGINE!$B$8),"FROZEN","ACTIVE")</f>
        <v/>
      </c>
    </row>
    <row r="105">
      <c r="A105" t="inlineStr">
        <is>
          <t>DYZEN_Capital_OS_PilotFund_FILLED_EXAMPLE (1).xlsx</t>
        </is>
      </c>
      <c r="B105" t="inlineStr">
        <is>
          <t>PORTFOLIO_CORE</t>
        </is>
      </c>
      <c r="C105" t="inlineStr">
        <is>
          <t>N17</t>
        </is>
      </c>
      <c r="D105">
        <f>IF(M17="FROZEN","STOP",IF(AND(J17&gt;=RISK_ENGINE!$B$9,I17&gt;=RISK_ENGINE!$B$10),"RE-UP","HOLD"))</f>
        <v/>
      </c>
    </row>
    <row r="106">
      <c r="A106" t="inlineStr">
        <is>
          <t>DYZEN_Capital_OS_PilotFund_FILLED_EXAMPLE (1).xlsx</t>
        </is>
      </c>
      <c r="B106" t="inlineStr">
        <is>
          <t>PORTFOLIO_CORE</t>
        </is>
      </c>
      <c r="C106" t="inlineStr">
        <is>
          <t>M18</t>
        </is>
      </c>
      <c r="D106">
        <f>IF(OR(K18&gt;=RISK_ENGINE!$B$7,L18&lt;=RISK_ENGINE!$B$8),"FROZEN","ACTIVE")</f>
        <v/>
      </c>
    </row>
    <row r="107">
      <c r="A107" t="inlineStr">
        <is>
          <t>DYZEN_Capital_OS_PilotFund_FILLED_EXAMPLE (1).xlsx</t>
        </is>
      </c>
      <c r="B107" t="inlineStr">
        <is>
          <t>PORTFOLIO_CORE</t>
        </is>
      </c>
      <c r="C107" t="inlineStr">
        <is>
          <t>N18</t>
        </is>
      </c>
      <c r="D107">
        <f>IF(M18="FROZEN","STOP",IF(AND(J18&gt;=RISK_ENGINE!$B$9,I18&gt;=RISK_ENGINE!$B$10),"RE-UP","HOLD"))</f>
        <v/>
      </c>
    </row>
    <row r="108">
      <c r="A108" t="inlineStr">
        <is>
          <t>DYZEN_Capital_OS_PilotFund_FILLED_EXAMPLE (1).xlsx</t>
        </is>
      </c>
      <c r="B108" t="inlineStr">
        <is>
          <t>PORTFOLIO_CORE</t>
        </is>
      </c>
      <c r="C108" t="inlineStr">
        <is>
          <t>M19</t>
        </is>
      </c>
      <c r="D108">
        <f>IF(OR(K19&gt;=RISK_ENGINE!$B$7,L19&lt;=RISK_ENGINE!$B$8),"FROZEN","ACTIVE")</f>
        <v/>
      </c>
    </row>
    <row r="109">
      <c r="A109" t="inlineStr">
        <is>
          <t>DYZEN_Capital_OS_PilotFund_FILLED_EXAMPLE (1).xlsx</t>
        </is>
      </c>
      <c r="B109" t="inlineStr">
        <is>
          <t>PORTFOLIO_CORE</t>
        </is>
      </c>
      <c r="C109" t="inlineStr">
        <is>
          <t>N19</t>
        </is>
      </c>
      <c r="D109">
        <f>IF(M19="FROZEN","STOP",IF(AND(J19&gt;=RISK_ENGINE!$B$9,I19&gt;=RISK_ENGINE!$B$10),"RE-UP","HOLD"))</f>
        <v/>
      </c>
    </row>
    <row r="110">
      <c r="A110" t="inlineStr">
        <is>
          <t>DYZEN_Capital_OS_PilotFund_FILLED_EXAMPLE (1).xlsx</t>
        </is>
      </c>
      <c r="B110" t="inlineStr">
        <is>
          <t>PORTFOLIO_CORE</t>
        </is>
      </c>
      <c r="C110" t="inlineStr">
        <is>
          <t>M20</t>
        </is>
      </c>
      <c r="D110">
        <f>IF(OR(K20&gt;=RISK_ENGINE!$B$7,L20&lt;=RISK_ENGINE!$B$8),"FROZEN","ACTIVE")</f>
        <v/>
      </c>
    </row>
    <row r="111">
      <c r="A111" t="inlineStr">
        <is>
          <t>DYZEN_Capital_OS_PilotFund_FILLED_EXAMPLE (1).xlsx</t>
        </is>
      </c>
      <c r="B111" t="inlineStr">
        <is>
          <t>PORTFOLIO_CORE</t>
        </is>
      </c>
      <c r="C111" t="inlineStr">
        <is>
          <t>N20</t>
        </is>
      </c>
      <c r="D111">
        <f>IF(M20="FROZEN","STOP",IF(AND(J20&gt;=RISK_ENGINE!$B$9,I20&gt;=RISK_ENGINE!$B$10),"RE-UP","HOLD"))</f>
        <v/>
      </c>
    </row>
    <row r="112">
      <c r="A112" t="inlineStr">
        <is>
          <t>DYZEN_Capital_OS_PilotFund_FILLED_EXAMPLE (1).xlsx</t>
        </is>
      </c>
      <c r="B112" t="inlineStr">
        <is>
          <t>PORTFOLIO_CORE</t>
        </is>
      </c>
      <c r="C112" t="inlineStr">
        <is>
          <t>M21</t>
        </is>
      </c>
      <c r="D112">
        <f>IF(OR(K21&gt;=RISK_ENGINE!$B$7,L21&lt;=RISK_ENGINE!$B$8),"FROZEN","ACTIVE")</f>
        <v/>
      </c>
    </row>
    <row r="113">
      <c r="A113" t="inlineStr">
        <is>
          <t>DYZEN_Capital_OS_PilotFund_FILLED_EXAMPLE (1).xlsx</t>
        </is>
      </c>
      <c r="B113" t="inlineStr">
        <is>
          <t>PORTFOLIO_CORE</t>
        </is>
      </c>
      <c r="C113" t="inlineStr">
        <is>
          <t>N21</t>
        </is>
      </c>
      <c r="D113">
        <f>IF(M21="FROZEN","STOP",IF(AND(J21&gt;=RISK_ENGINE!$B$9,I21&gt;=RISK_ENGINE!$B$10),"RE-UP","HOLD"))</f>
        <v/>
      </c>
    </row>
    <row r="114">
      <c r="A114" t="inlineStr">
        <is>
          <t>DYZEN_Capital_OS_PilotFund_FILLED_EXAMPLE (1).xlsx</t>
        </is>
      </c>
      <c r="B114" t="inlineStr">
        <is>
          <t>PORTFOLIO_CORE</t>
        </is>
      </c>
      <c r="C114" t="inlineStr">
        <is>
          <t>M22</t>
        </is>
      </c>
      <c r="D114">
        <f>IF(OR(K22&gt;=RISK_ENGINE!$B$7,L22&lt;=RISK_ENGINE!$B$8),"FROZEN","ACTIVE")</f>
        <v/>
      </c>
    </row>
    <row r="115">
      <c r="A115" t="inlineStr">
        <is>
          <t>DYZEN_Capital_OS_PilotFund_FILLED_EXAMPLE (1).xlsx</t>
        </is>
      </c>
      <c r="B115" t="inlineStr">
        <is>
          <t>PORTFOLIO_CORE</t>
        </is>
      </c>
      <c r="C115" t="inlineStr">
        <is>
          <t>N22</t>
        </is>
      </c>
      <c r="D115">
        <f>IF(M22="FROZEN","STOP",IF(AND(J22&gt;=RISK_ENGINE!$B$9,I22&gt;=RISK_ENGINE!$B$10),"RE-UP","HOLD"))</f>
        <v/>
      </c>
    </row>
    <row r="116">
      <c r="A116" t="inlineStr">
        <is>
          <t>DYZEN_Capital_OS_PilotFund_FILLED_EXAMPLE (1).xlsx</t>
        </is>
      </c>
      <c r="B116" t="inlineStr">
        <is>
          <t>PORTFOLIO_CORE</t>
        </is>
      </c>
      <c r="C116" t="inlineStr">
        <is>
          <t>M23</t>
        </is>
      </c>
      <c r="D116">
        <f>IF(OR(K23&gt;=RISK_ENGINE!$B$7,L23&lt;=RISK_ENGINE!$B$8),"FROZEN","ACTIVE")</f>
        <v/>
      </c>
    </row>
    <row r="117">
      <c r="A117" t="inlineStr">
        <is>
          <t>DYZEN_Capital_OS_PilotFund_FILLED_EXAMPLE (1).xlsx</t>
        </is>
      </c>
      <c r="B117" t="inlineStr">
        <is>
          <t>PORTFOLIO_CORE</t>
        </is>
      </c>
      <c r="C117" t="inlineStr">
        <is>
          <t>N23</t>
        </is>
      </c>
      <c r="D117">
        <f>IF(M23="FROZEN","STOP",IF(AND(J23&gt;=RISK_ENGINE!$B$9,I23&gt;=RISK_ENGINE!$B$10),"RE-UP","HOLD"))</f>
        <v/>
      </c>
    </row>
    <row r="118">
      <c r="A118" t="inlineStr">
        <is>
          <t>DYZEN_Capital_OS_PilotFund_FILLED_EXAMPLE (1).xlsx</t>
        </is>
      </c>
      <c r="B118" t="inlineStr">
        <is>
          <t>PORTFOLIO_CORE</t>
        </is>
      </c>
      <c r="C118" t="inlineStr">
        <is>
          <t>M24</t>
        </is>
      </c>
      <c r="D118">
        <f>IF(OR(K24&gt;=RISK_ENGINE!$B$7,L24&lt;=RISK_ENGINE!$B$8),"FROZEN","ACTIVE")</f>
        <v/>
      </c>
    </row>
    <row r="119">
      <c r="A119" t="inlineStr">
        <is>
          <t>DYZEN_Capital_OS_PilotFund_FILLED_EXAMPLE (1).xlsx</t>
        </is>
      </c>
      <c r="B119" t="inlineStr">
        <is>
          <t>PORTFOLIO_CORE</t>
        </is>
      </c>
      <c r="C119" t="inlineStr">
        <is>
          <t>N24</t>
        </is>
      </c>
      <c r="D119">
        <f>IF(M24="FROZEN","STOP",IF(AND(J24&gt;=RISK_ENGINE!$B$9,I24&gt;=RISK_ENGINE!$B$10),"RE-UP","HOLD"))</f>
        <v/>
      </c>
    </row>
    <row r="120">
      <c r="A120" t="inlineStr">
        <is>
          <t>DYZEN_Capital_OS_PilotFund_FILLED_EXAMPLE (1).xlsx</t>
        </is>
      </c>
      <c r="B120" t="inlineStr">
        <is>
          <t>PORTFOLIO_CORE</t>
        </is>
      </c>
      <c r="C120" t="inlineStr">
        <is>
          <t>M25</t>
        </is>
      </c>
      <c r="D120">
        <f>IF(OR(K25&gt;=RISK_ENGINE!$B$7,L25&lt;=RISK_ENGINE!$B$8),"FROZEN","ACTIVE")</f>
        <v/>
      </c>
    </row>
    <row r="121">
      <c r="A121" t="inlineStr">
        <is>
          <t>DYZEN_Capital_OS_PilotFund_FILLED_EXAMPLE (1).xlsx</t>
        </is>
      </c>
      <c r="B121" t="inlineStr">
        <is>
          <t>PORTFOLIO_CORE</t>
        </is>
      </c>
      <c r="C121" t="inlineStr">
        <is>
          <t>N25</t>
        </is>
      </c>
      <c r="D121">
        <f>IF(M25="FROZEN","STOP",IF(AND(J25&gt;=RISK_ENGINE!$B$9,I25&gt;=RISK_ENGINE!$B$10),"RE-UP","HOLD"))</f>
        <v/>
      </c>
    </row>
    <row r="122">
      <c r="A122" t="inlineStr">
        <is>
          <t>DYZEN_Capital_OS_PilotFund_FILLED_EXAMPLE (1).xlsx</t>
        </is>
      </c>
      <c r="B122" t="inlineStr">
        <is>
          <t>RISK_ENGINE</t>
        </is>
      </c>
      <c r="C122" t="inlineStr">
        <is>
          <t>A1</t>
        </is>
      </c>
      <c r="D122" t="inlineStr">
        <is>
          <t>DYZEN CAPITAL OS — RISK_ENGINE</t>
        </is>
      </c>
    </row>
    <row r="123">
      <c r="A123" t="inlineStr">
        <is>
          <t>DYZEN_Capital_OS_PilotFund_FILLED_EXAMPLE (1).xlsx</t>
        </is>
      </c>
      <c r="B123" t="inlineStr">
        <is>
          <t>RISK_ENGINE</t>
        </is>
      </c>
      <c r="C123" t="inlineStr">
        <is>
          <t>A5</t>
        </is>
      </c>
      <c r="D123" t="inlineStr">
        <is>
          <t>Max exposure per startup (% of Total Capital)</t>
        </is>
      </c>
    </row>
    <row r="124">
      <c r="A124" t="inlineStr">
        <is>
          <t>DYZEN_Capital_OS_PilotFund_FILLED_EXAMPLE (1).xlsx</t>
        </is>
      </c>
      <c r="B124" t="inlineStr">
        <is>
          <t>RISK_ENGINE</t>
        </is>
      </c>
      <c r="C124" t="inlineStr">
        <is>
          <t>A7</t>
        </is>
      </c>
      <c r="D124" t="inlineStr">
        <is>
          <t>Freeze if Risk Score &gt;=</t>
        </is>
      </c>
    </row>
    <row r="125">
      <c r="A125" t="inlineStr">
        <is>
          <t>DYZEN_Capital_OS_PilotFund_FILLED_EXAMPLE (1).xlsx</t>
        </is>
      </c>
      <c r="B125" t="inlineStr">
        <is>
          <t>RISK_ENGINE</t>
        </is>
      </c>
      <c r="C125" t="inlineStr">
        <is>
          <t>A18</t>
        </is>
      </c>
      <c r="D125" t="inlineStr">
        <is>
          <t>Risk Status</t>
        </is>
      </c>
    </row>
    <row r="126">
      <c r="A126" t="inlineStr">
        <is>
          <t>DYZEN_Capital_OS_PilotFund_FILLED_EXAMPLE (1).xlsx</t>
        </is>
      </c>
      <c r="B126" t="inlineStr">
        <is>
          <t>INPUTS</t>
        </is>
      </c>
      <c r="C126" t="inlineStr">
        <is>
          <t>C10</t>
        </is>
      </c>
      <c r="D126" t="inlineStr">
        <is>
          <t>Total Addressable Market (annual spend)</t>
        </is>
      </c>
    </row>
    <row r="127">
      <c r="A127" t="inlineStr">
        <is>
          <t>DYZEN_Capital_OS_PilotFund_FILLED_EXAMPLE (1).xlsx</t>
        </is>
      </c>
      <c r="B127" t="inlineStr">
        <is>
          <t>INPUTS</t>
        </is>
      </c>
      <c r="C127" t="inlineStr">
        <is>
          <t>F21</t>
        </is>
      </c>
      <c r="D127" t="inlineStr">
        <is>
          <t>Risk drivers</t>
        </is>
      </c>
    </row>
    <row r="128">
      <c r="A128" t="inlineStr">
        <is>
          <t>DYZEN_Capital_OS_PilotFund_FILLED_EXAMPLE (1).xlsx</t>
        </is>
      </c>
      <c r="B128" t="inlineStr">
        <is>
          <t>INPUTS</t>
        </is>
      </c>
      <c r="C128" t="inlineStr">
        <is>
          <t>F22</t>
        </is>
      </c>
      <c r="D128" t="inlineStr">
        <is>
          <t>Market risk</t>
        </is>
      </c>
    </row>
    <row r="129">
      <c r="A129" t="inlineStr">
        <is>
          <t>DYZEN_Capital_OS_PilotFund_FILLED_EXAMPLE (1).xlsx</t>
        </is>
      </c>
      <c r="B129" t="inlineStr">
        <is>
          <t>INPUTS</t>
        </is>
      </c>
      <c r="C129" t="inlineStr">
        <is>
          <t>F23</t>
        </is>
      </c>
      <c r="D129" t="inlineStr">
        <is>
          <t>Tech risk</t>
        </is>
      </c>
    </row>
    <row r="130">
      <c r="A130" t="inlineStr">
        <is>
          <t>DYZEN_Capital_OS_PilotFund_FILLED_EXAMPLE (1).xlsx</t>
        </is>
      </c>
      <c r="B130" t="inlineStr">
        <is>
          <t>INPUTS</t>
        </is>
      </c>
      <c r="C130" t="inlineStr">
        <is>
          <t>F24</t>
        </is>
      </c>
      <c r="D130" t="inlineStr">
        <is>
          <t>Competition risk</t>
        </is>
      </c>
    </row>
    <row r="131">
      <c r="A131" t="inlineStr">
        <is>
          <t>DYZEN_Capital_OS_PilotFund_FILLED_EXAMPLE (1).xlsx</t>
        </is>
      </c>
      <c r="B131" t="inlineStr">
        <is>
          <t>INPUTS</t>
        </is>
      </c>
      <c r="C131" t="inlineStr">
        <is>
          <t>F25</t>
        </is>
      </c>
      <c r="D131" t="inlineStr">
        <is>
          <t>Regulatory risk</t>
        </is>
      </c>
    </row>
    <row r="132">
      <c r="A132" t="inlineStr">
        <is>
          <t>DYZEN_Capital_OS_PilotFund_FILLED_EXAMPLE (1).xlsx</t>
        </is>
      </c>
      <c r="B132" t="inlineStr">
        <is>
          <t>INPUTS</t>
        </is>
      </c>
      <c r="C132" t="inlineStr">
        <is>
          <t>D26</t>
        </is>
      </c>
      <c r="D132" t="inlineStr">
        <is>
          <t>Capital efficiency</t>
        </is>
      </c>
    </row>
    <row r="133">
      <c r="A133" t="inlineStr">
        <is>
          <t>DYZEN_Capital_OS_PilotFund_FILLED_EXAMPLE (1).xlsx</t>
        </is>
      </c>
      <c r="B133" t="inlineStr">
        <is>
          <t>INPUTS</t>
        </is>
      </c>
      <c r="C133" t="inlineStr">
        <is>
          <t>F26</t>
        </is>
      </c>
      <c r="D133" t="inlineStr">
        <is>
          <t>Financing risk</t>
        </is>
      </c>
    </row>
    <row r="134">
      <c r="A134" t="inlineStr">
        <is>
          <t>DYZEN_Capital_OS_PilotFund_FILLED_EXAMPLE (1).xlsx</t>
        </is>
      </c>
      <c r="B134" t="inlineStr">
        <is>
          <t>INPUTS</t>
        </is>
      </c>
      <c r="C134" t="inlineStr">
        <is>
          <t>F27</t>
        </is>
      </c>
      <c r="D134" t="inlineStr">
        <is>
          <t>Follow-on signaling risk</t>
        </is>
      </c>
    </row>
    <row r="135">
      <c r="A135" t="inlineStr">
        <is>
          <t>DYZEN_Capital_OS_PilotFund_FILLED_EXAMPLE (1).xlsx</t>
        </is>
      </c>
      <c r="B135" t="inlineStr">
        <is>
          <t>INPUTS</t>
        </is>
      </c>
      <c r="C135" t="inlineStr">
        <is>
          <t>A33</t>
        </is>
      </c>
      <c r="D135" t="inlineStr">
        <is>
          <t>Risk scaling (0–5)</t>
        </is>
      </c>
    </row>
    <row r="136">
      <c r="A136" t="inlineStr">
        <is>
          <t>DYZEN_Capital_OS_PilotFund_FILLED_EXAMPLE (1).xlsx</t>
        </is>
      </c>
      <c r="B136" t="inlineStr">
        <is>
          <t>INPUTS</t>
        </is>
      </c>
      <c r="C136" t="inlineStr">
        <is>
          <t>C33</t>
        </is>
      </c>
      <c r="D136" t="inlineStr">
        <is>
          <t>Scales risk factor: RiskFactor = 1 + RiskIndex*Scaling</t>
        </is>
      </c>
    </row>
    <row r="137">
      <c r="A137" t="inlineStr">
        <is>
          <t>DYZEN_Capital_OS_PilotFund_FILLED_EXAMPLE (1).xlsx</t>
        </is>
      </c>
      <c r="B137" t="inlineStr">
        <is>
          <t>EXIT_ENGINE</t>
        </is>
      </c>
      <c r="C137" t="inlineStr">
        <is>
          <t>A1</t>
        </is>
      </c>
      <c r="D137" t="inlineStr">
        <is>
          <t>EXIT ENGINE (Venture Capital Method inputs)</t>
        </is>
      </c>
    </row>
    <row r="138">
      <c r="A138" t="inlineStr">
        <is>
          <t>DYZEN_Capital_OS_PilotFund_FILLED_EXAMPLE (1).xlsx</t>
        </is>
      </c>
      <c r="B138" t="inlineStr">
        <is>
          <t>EXIT_ENGINE</t>
        </is>
      </c>
      <c r="C138" t="inlineStr">
        <is>
          <t>A27</t>
        </is>
      </c>
      <c r="D138" t="inlineStr">
        <is>
          <t>Expected Exit (scenario-weighted)</t>
        </is>
      </c>
    </row>
    <row r="139">
      <c r="A139" t="inlineStr">
        <is>
          <t>DYZEN_Capital_OS_PilotFund_FILLED_EXAMPLE (1).xlsx</t>
        </is>
      </c>
      <c r="B139" t="inlineStr">
        <is>
          <t>EXIT_ENGINE</t>
        </is>
      </c>
      <c r="C139" t="inlineStr">
        <is>
          <t>C28</t>
        </is>
      </c>
      <c r="D139" t="inlineStr">
        <is>
          <t>Scenario-weighted expected value</t>
        </is>
      </c>
    </row>
    <row r="140">
      <c r="A140" t="inlineStr">
        <is>
          <t>DYZEN_Capital_OS_PilotFund_FILLED_EXAMPLE (1).xlsx</t>
        </is>
      </c>
      <c r="B140" t="inlineStr">
        <is>
          <t>DOMINANCE_ENGINE</t>
        </is>
      </c>
      <c r="C140" t="inlineStr">
        <is>
          <t>C4</t>
        </is>
      </c>
      <c r="D140" t="inlineStr">
        <is>
          <t>Weight</t>
        </is>
      </c>
    </row>
    <row r="141">
      <c r="A141" t="inlineStr">
        <is>
          <t>DYZEN_Capital_OS_PilotFund_FILLED_EXAMPLE (1).xlsx</t>
        </is>
      </c>
      <c r="B141" t="inlineStr">
        <is>
          <t>DOMINANCE_ENGINE</t>
        </is>
      </c>
      <c r="C141" t="inlineStr">
        <is>
          <t>A14</t>
        </is>
      </c>
      <c r="D141" t="inlineStr">
        <is>
          <t>Weighted Dominance Score (0–100)</t>
        </is>
      </c>
    </row>
    <row r="142">
      <c r="A142" t="inlineStr">
        <is>
          <t>DYZEN_Capital_OS_PilotFund_FILLED_EXAMPLE (1).xlsx</t>
        </is>
      </c>
      <c r="B142" t="inlineStr">
        <is>
          <t>EXECUTION_ENGINE</t>
        </is>
      </c>
      <c r="C142" t="inlineStr">
        <is>
          <t>C4</t>
        </is>
      </c>
      <c r="D142" t="inlineStr">
        <is>
          <t>Weight</t>
        </is>
      </c>
    </row>
    <row r="143">
      <c r="A143" t="inlineStr">
        <is>
          <t>DYZEN_Capital_OS_PilotFund_FILLED_EXAMPLE (1).xlsx</t>
        </is>
      </c>
      <c r="B143" t="inlineStr">
        <is>
          <t>EXECUTION_ENGINE</t>
        </is>
      </c>
      <c r="C143" t="inlineStr">
        <is>
          <t>A9</t>
        </is>
      </c>
      <c r="D143" t="inlineStr">
        <is>
          <t>Capital efficiency</t>
        </is>
      </c>
    </row>
    <row r="144">
      <c r="A144" t="inlineStr">
        <is>
          <t>DYZEN_Capital_OS_PilotFund_FILLED_EXAMPLE (1).xlsx</t>
        </is>
      </c>
      <c r="B144" t="inlineStr">
        <is>
          <t>EXECUTION_ENGINE</t>
        </is>
      </c>
      <c r="C144" t="inlineStr">
        <is>
          <t>A13</t>
        </is>
      </c>
      <c r="D144" t="inlineStr">
        <is>
          <t>Weighted Execution Score (0–100)</t>
        </is>
      </c>
    </row>
    <row r="145">
      <c r="A145" t="inlineStr">
        <is>
          <t>DYZEN_Capital_OS_PilotFund_FILLED_EXAMPLE (1).xlsx</t>
        </is>
      </c>
      <c r="B145" t="inlineStr">
        <is>
          <t>VALUATION</t>
        </is>
      </c>
      <c r="C145" t="inlineStr">
        <is>
          <t>B4</t>
        </is>
      </c>
      <c r="D145">
        <f>(EXIT_ENGINE!B28*DOMINANCE_ENGINE!B15*EXECUTION_ENGINE!B14)/(RISK_ENGINE!B16*RETURNS_OWNERSHIP!B12)</f>
        <v/>
      </c>
    </row>
    <row r="146">
      <c r="A146" t="inlineStr">
        <is>
          <t>DYZEN_Capital_OS_PilotFund_FILLED_EXAMPLE (1).xlsx</t>
        </is>
      </c>
      <c r="B146" t="inlineStr">
        <is>
          <t>VALUATION</t>
        </is>
      </c>
      <c r="C146" t="inlineStr">
        <is>
          <t>A16</t>
        </is>
      </c>
      <c r="D146" t="inlineStr">
        <is>
          <t>Risk factor (&gt;=1)</t>
        </is>
      </c>
    </row>
    <row r="147">
      <c r="A147" t="inlineStr">
        <is>
          <t>DYZEN_Capital_OS_PilotFund_FILLED_EXAMPLE (1).xlsx</t>
        </is>
      </c>
      <c r="B147" t="inlineStr">
        <is>
          <t>VALUATION</t>
        </is>
      </c>
      <c r="C147" t="inlineStr">
        <is>
          <t>B16</t>
        </is>
      </c>
      <c r="D147">
        <f>RISK_ENGINE!B16</f>
        <v/>
      </c>
    </row>
    <row r="148">
      <c r="A148" t="inlineStr">
        <is>
          <t>DYZEN_Capital_OS_PilotFund_FILLED_EXAMPLE (1).xlsx</t>
        </is>
      </c>
      <c r="B148" t="inlineStr">
        <is>
          <t>ROUND_SIMULATOR</t>
        </is>
      </c>
      <c r="C148" t="inlineStr">
        <is>
          <t>D4</t>
        </is>
      </c>
      <c r="D148" t="inlineStr">
        <is>
          <t>Risk multiplier</t>
        </is>
      </c>
    </row>
    <row r="149">
      <c r="A149" t="inlineStr">
        <is>
          <t>DYZEN_Capital_OS_PilotFund_FILLED_EXAMPLE (1).xlsx</t>
        </is>
      </c>
      <c r="B149" t="inlineStr">
        <is>
          <t>ROUND_SIMULATOR</t>
        </is>
      </c>
      <c r="C149" t="inlineStr">
        <is>
          <t>F5</t>
        </is>
      </c>
      <c r="D149">
        <f>(EXIT_ENGINE!B28*MIN(1,EXECUTION_ENGINE!B14*B5)*MIN(1,DOMINANCE_ENGINE!B15*C5))/(MAX(1,RISK_ENGINE!B16*D5)*E5)</f>
        <v/>
      </c>
    </row>
    <row r="150">
      <c r="A150" t="inlineStr">
        <is>
          <t>DYZEN_Capital_OS_PilotFund_FILLED_EXAMPLE (1).xlsx</t>
        </is>
      </c>
      <c r="B150" t="inlineStr">
        <is>
          <t>ROUND_SIMULATOR</t>
        </is>
      </c>
      <c r="C150" t="inlineStr">
        <is>
          <t>F6</t>
        </is>
      </c>
      <c r="D150">
        <f>(EXIT_ENGINE!B28*MIN(1,EXECUTION_ENGINE!B14*B6)*MIN(1,DOMINANCE_ENGINE!B15*C6))/(MAX(1,RISK_ENGINE!B16*D6)*E6)</f>
        <v/>
      </c>
    </row>
    <row r="151">
      <c r="A151" t="inlineStr">
        <is>
          <t>DYZEN_Capital_OS_PilotFund_FILLED_EXAMPLE (1).xlsx</t>
        </is>
      </c>
      <c r="B151" t="inlineStr">
        <is>
          <t>ROUND_SIMULATOR</t>
        </is>
      </c>
      <c r="C151" t="inlineStr">
        <is>
          <t>F7</t>
        </is>
      </c>
      <c r="D151">
        <f>(EXIT_ENGINE!B28*MIN(1,EXECUTION_ENGINE!B14*B7)*MIN(1,DOMINANCE_ENGINE!B15*C7))/(MAX(1,RISK_ENGINE!B16*D7)*E7)</f>
        <v/>
      </c>
    </row>
    <row r="152">
      <c r="A152" t="inlineStr">
        <is>
          <t>DYZEN_Capital_OS_PilotFund_FILLED_EXAMPLE (1).xlsx</t>
        </is>
      </c>
      <c r="B152" t="inlineStr">
        <is>
          <t>ROUND_SIMULATOR</t>
        </is>
      </c>
      <c r="C152" t="inlineStr">
        <is>
          <t>F8</t>
        </is>
      </c>
      <c r="D152">
        <f>(EXIT_ENGINE!B28*MIN(1,EXECUTION_ENGINE!B14*B8)*MIN(1,DOMINANCE_ENGINE!B15*C8))/(MAX(1,RISK_ENGINE!B16*D8)*E8)</f>
        <v/>
      </c>
    </row>
    <row r="153">
      <c r="A153" t="inlineStr">
        <is>
          <t>DYZEN_Capital_OS_PilotFund_FILLED_EXAMPLE (1).xlsx</t>
        </is>
      </c>
      <c r="B153" t="inlineStr">
        <is>
          <t>METHOD_MAPPING</t>
        </is>
      </c>
      <c r="C153" t="inlineStr">
        <is>
          <t>A1</t>
        </is>
      </c>
      <c r="D153" t="inlineStr">
        <is>
          <t>Sequoia Capital — Valuation Methods Stack (where each method lives in this workbook)</t>
        </is>
      </c>
    </row>
    <row r="154">
      <c r="A154" t="inlineStr">
        <is>
          <t>DYZEN_Capital_OS_PilotFund_FILLED_EXAMPLE (1).xlsx</t>
        </is>
      </c>
      <c r="B154" t="inlineStr">
        <is>
          <t>METHOD_MAPPING</t>
        </is>
      </c>
      <c r="C154" t="inlineStr">
        <is>
          <t>A4</t>
        </is>
      </c>
      <c r="D154" t="inlineStr">
        <is>
          <t>Venture Capital Method (Exit-based)</t>
        </is>
      </c>
    </row>
    <row r="155">
      <c r="A155" t="inlineStr">
        <is>
          <t>DYZEN_Capital_OS_PilotFund_FILLED_EXAMPLE (1).xlsx</t>
        </is>
      </c>
      <c r="B155" t="inlineStr">
        <is>
          <t>METHOD_MAPPING</t>
        </is>
      </c>
      <c r="C155" t="inlineStr">
        <is>
          <t>C4</t>
        </is>
      </c>
      <c r="D155" t="inlineStr">
        <is>
          <t>Base exit = TAM × share × multiple; scenario-weighted expected exit</t>
        </is>
      </c>
    </row>
    <row r="156">
      <c r="A156" t="inlineStr">
        <is>
          <t>DYZEN_Capital_OS_PilotFund_FILLED_EXAMPLE (1).xlsx</t>
        </is>
      </c>
      <c r="B156" t="inlineStr">
        <is>
          <t>METHOD_MAPPING</t>
        </is>
      </c>
      <c r="C156" t="inlineStr">
        <is>
          <t>C6</t>
        </is>
      </c>
      <c r="D156" t="inlineStr">
        <is>
          <t>Framed via fund-returner threshold; extendable with probabilities</t>
        </is>
      </c>
    </row>
    <row r="157">
      <c r="A157" t="inlineStr">
        <is>
          <t>DYZEN_Capital_OS_PilotFund_FILLED_EXAMPLE (1).xlsx</t>
        </is>
      </c>
      <c r="B157" t="inlineStr">
        <is>
          <t>METHOD_MAPPING</t>
        </is>
      </c>
      <c r="C157" t="inlineStr">
        <is>
          <t>A12</t>
        </is>
      </c>
      <c r="D157" t="inlineStr">
        <is>
          <t>Scenario-weighted exit modeling (Best/Base/Failure)</t>
        </is>
      </c>
    </row>
    <row r="158">
      <c r="A158" t="inlineStr">
        <is>
          <t>DYZEN_Capital_OS_PilotFund_FILLED_EXAMPLE (1).xlsx</t>
        </is>
      </c>
      <c r="B158" t="inlineStr">
        <is>
          <t>METHOD_MAPPING</t>
        </is>
      </c>
      <c r="C158" t="inlineStr">
        <is>
          <t>A13</t>
        </is>
      </c>
      <c r="D158" t="inlineStr">
        <is>
          <t>Capital efficiency analysis</t>
        </is>
      </c>
    </row>
    <row r="159">
      <c r="A159" t="inlineStr">
        <is>
          <t>DYZEN_Capital_OS_PilotFund_FILLED_EXAMPLE (1).xlsx</t>
        </is>
      </c>
      <c r="B159" t="inlineStr">
        <is>
          <t>METHOD_MAPPING</t>
        </is>
      </c>
      <c r="C159" t="inlineStr">
        <is>
          <t>C13</t>
        </is>
      </c>
      <c r="D159" t="inlineStr">
        <is>
          <t>Input: Capital efficiency score (0–100); tie to burn multiple if you add data</t>
        </is>
      </c>
    </row>
    <row r="160">
      <c r="A160" t="inlineStr">
        <is>
          <t>DYZEN_Capital_OS_PilotFund_FILLED_EXAMPLE (1).xlsx</t>
        </is>
      </c>
      <c r="B160" t="inlineStr">
        <is>
          <t>METHOD_MAPPING</t>
        </is>
      </c>
      <c r="C160" t="inlineStr">
        <is>
          <t>A17</t>
        </is>
      </c>
      <c r="D160" t="inlineStr">
        <is>
          <t>Follow-on round signaling risk</t>
        </is>
      </c>
    </row>
    <row r="161">
      <c r="A161" t="inlineStr">
        <is>
          <t>DYZEN_Capital_OS_PilotFund_FILLED_EXAMPLE (1).xlsx</t>
        </is>
      </c>
      <c r="B161" t="inlineStr">
        <is>
          <t>METHOD_MAPPING</t>
        </is>
      </c>
      <c r="C161" t="inlineStr">
        <is>
          <t>B17</t>
        </is>
      </c>
      <c r="D161" t="inlineStr">
        <is>
          <t>RISK_ENGINE</t>
        </is>
      </c>
    </row>
    <row r="162">
      <c r="A162" t="inlineStr">
        <is>
          <t>DYZEN_Capital_OS_PilotFund_FILLED_EXAMPLE (1).xlsx</t>
        </is>
      </c>
      <c r="B162" t="inlineStr">
        <is>
          <t>METHOD_MAPPING</t>
        </is>
      </c>
      <c r="C162" t="inlineStr">
        <is>
          <t>C17</t>
        </is>
      </c>
      <c r="D162" t="inlineStr">
        <is>
          <t>Input: Signaling risk (0–100)</t>
        </is>
      </c>
    </row>
    <row r="163">
      <c r="A163" t="inlineStr">
        <is>
          <t>DYZEN_Capital_OS_PilotFund_FILLED_EXAMPLE (1).xlsx</t>
        </is>
      </c>
      <c r="B163" t="inlineStr">
        <is>
          <t>Example_Company_Filled</t>
        </is>
      </c>
      <c r="C163" t="inlineStr">
        <is>
          <t>A5</t>
        </is>
      </c>
      <c r="D163" t="inlineStr">
        <is>
          <t>Market Cap ($B)</t>
        </is>
      </c>
    </row>
    <row r="164">
      <c r="A164" t="inlineStr">
        <is>
          <t>DYZEN_Capital_OS_PilotFund_FILLED_EXAMPLE (1).xlsx</t>
        </is>
      </c>
      <c r="B164" t="inlineStr">
        <is>
          <t>Example_Company_Filled</t>
        </is>
      </c>
      <c r="C164" t="inlineStr">
        <is>
          <t>A10</t>
        </is>
      </c>
      <c r="D164" t="inlineStr">
        <is>
          <t>Risk Score (0-1)</t>
        </is>
      </c>
    </row>
    <row r="165">
      <c r="A165" t="inlineStr">
        <is>
          <t>DYZEN_Capital_OS_PilotFund_FILLED_EXAMPLE (1).xlsx</t>
        </is>
      </c>
      <c r="B165" t="inlineStr">
        <is>
          <t>INSTRUCTIONS</t>
        </is>
      </c>
      <c r="C165" t="inlineStr">
        <is>
          <t>A1</t>
        </is>
      </c>
      <c r="D165" t="inlineStr">
        <is>
          <t>DYZEN Capital OS – How to Fill the File</t>
        </is>
      </c>
    </row>
    <row r="166">
      <c r="A166" t="inlineStr">
        <is>
          <t>DYZEN_Capital_OS_PilotFund_FILLED_EXAMPLE (1).xlsx</t>
        </is>
      </c>
      <c r="B166" t="inlineStr">
        <is>
          <t>INSTRUCTIONS</t>
        </is>
      </c>
      <c r="C166" t="inlineStr">
        <is>
          <t>A7</t>
        </is>
      </c>
      <c r="D166" t="inlineStr">
        <is>
          <t>• Market Cap ($B)</t>
        </is>
      </c>
    </row>
    <row r="167">
      <c r="A167" t="inlineStr">
        <is>
          <t>DYZEN_Capital_OS_PilotFund_FILLED_EXAMPLE (1).xlsx</t>
        </is>
      </c>
      <c r="B167" t="inlineStr">
        <is>
          <t>INSTRUCTIONS</t>
        </is>
      </c>
      <c r="C167" t="inlineStr">
        <is>
          <t>A14</t>
        </is>
      </c>
      <c r="D167" t="inlineStr">
        <is>
          <t>• Risk Score – calculated from Debt/Equity</t>
        </is>
      </c>
    </row>
    <row r="168">
      <c r="A168" t="inlineStr">
        <is>
          <t>DYZEN_Capital_OS_PilotFund_FILLED_EXAMPLE (1).xlsx</t>
        </is>
      </c>
      <c r="B168" t="inlineStr">
        <is>
          <t>INSTRUCTIONS</t>
        </is>
      </c>
      <c r="C168" t="inlineStr">
        <is>
          <t>A21</t>
        </is>
      </c>
      <c r="D168" t="inlineStr">
        <is>
          <t>Risk decreases when Debt/Equity &lt; 1</t>
        </is>
      </c>
    </row>
    <row r="169">
      <c r="A169" t="inlineStr">
        <is>
          <t>DYZEN_STRUCTURAL_TREND_HUNTER_V1.xlsx</t>
        </is>
      </c>
      <c r="B169" t="inlineStr">
        <is>
          <t>README</t>
        </is>
      </c>
      <c r="C169" t="inlineStr">
        <is>
          <t>B2</t>
        </is>
      </c>
      <c r="D169" t="inlineStr">
        <is>
          <t>DYZEN CAPITAL OS</t>
        </is>
      </c>
    </row>
    <row r="170">
      <c r="A170" t="inlineStr">
        <is>
          <t>DYZEN_STRUCTURAL_TREND_HUNTER_V1.xlsx</t>
        </is>
      </c>
      <c r="B170" t="inlineStr">
        <is>
          <t>README</t>
        </is>
      </c>
      <c r="C170" t="inlineStr">
        <is>
          <t>B4</t>
        </is>
      </c>
      <c r="D170" t="inlineStr">
        <is>
          <t>Private Decision Engine for Capital, Risk &amp; Trading Intelligence</t>
        </is>
      </c>
    </row>
    <row r="171">
      <c r="A171" t="inlineStr">
        <is>
          <t>DYZEN_STRUCTURAL_TREND_HUNTER_V1.xlsx</t>
        </is>
      </c>
      <c r="B171" t="inlineStr">
        <is>
          <t>README</t>
        </is>
      </c>
      <c r="C171" t="inlineStr">
        <is>
          <t>B7</t>
        </is>
      </c>
      <c r="D171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172">
      <c r="A172" t="inlineStr">
        <is>
          <t>DYZEN_STRUCTURAL_TREND_HUNTER_V1.xlsx</t>
        </is>
      </c>
      <c r="B172" t="inlineStr">
        <is>
          <t>INPUTS</t>
        </is>
      </c>
      <c r="C172" t="inlineStr">
        <is>
          <t>A1</t>
        </is>
      </c>
      <c r="D172" t="inlineStr">
        <is>
          <t>Capital</t>
        </is>
      </c>
    </row>
    <row r="173">
      <c r="A173" t="inlineStr">
        <is>
          <t>DYZEN_STRUCTURAL_TREND_HUNTER_V1.xlsx</t>
        </is>
      </c>
      <c r="B173" t="inlineStr">
        <is>
          <t>INPUTS</t>
        </is>
      </c>
      <c r="C173" t="inlineStr">
        <is>
          <t>B1</t>
        </is>
      </c>
      <c r="D173" t="inlineStr">
        <is>
          <t>Risk Appetite</t>
        </is>
      </c>
    </row>
    <row r="174">
      <c r="A174" t="inlineStr">
        <is>
          <t>DYZEN_STRUCTURAL_TREND_HUNTER_V1.xlsx</t>
        </is>
      </c>
      <c r="B174" t="inlineStr">
        <is>
          <t>MARKET</t>
        </is>
      </c>
      <c r="C174" t="inlineStr">
        <is>
          <t>C1</t>
        </is>
      </c>
      <c r="D174" t="inlineStr">
        <is>
          <t>Regime Score</t>
        </is>
      </c>
    </row>
    <row r="175">
      <c r="A175" t="inlineStr">
        <is>
          <t>DYZEN_STRUCTURAL_TREND_HUNTER_V1.xlsx</t>
        </is>
      </c>
      <c r="B175" t="inlineStr">
        <is>
          <t>MARKET</t>
        </is>
      </c>
      <c r="C175" t="inlineStr">
        <is>
          <t>D1</t>
        </is>
      </c>
      <c r="D175" t="inlineStr">
        <is>
          <t>Regime OK</t>
        </is>
      </c>
    </row>
    <row r="176">
      <c r="A176" t="inlineStr">
        <is>
          <t>DYZEN_STRUCTURAL_TREND_HUNTER_V1.xlsx</t>
        </is>
      </c>
      <c r="B176" t="inlineStr">
        <is>
          <t>SETUP</t>
        </is>
      </c>
      <c r="C176" t="inlineStr">
        <is>
          <t>A6</t>
        </is>
      </c>
      <c r="D176" t="inlineStr">
        <is>
          <t>Risk : Reward Ratio</t>
        </is>
      </c>
    </row>
    <row r="177">
      <c r="A177" t="inlineStr">
        <is>
          <t>DYZEN_STRUCTURAL_TREND_HUNTER_V1.xlsx</t>
        </is>
      </c>
      <c r="B177" t="inlineStr">
        <is>
          <t>SETUP</t>
        </is>
      </c>
      <c r="C177" t="inlineStr">
        <is>
          <t>A17</t>
        </is>
      </c>
      <c r="D177" t="inlineStr">
        <is>
          <t>Late Entry Risk</t>
        </is>
      </c>
    </row>
    <row r="178">
      <c r="A178" t="inlineStr">
        <is>
          <t>DYZEN_STRUCTURAL_TREND_HUNTER_V1.xlsx</t>
        </is>
      </c>
      <c r="B178" t="inlineStr">
        <is>
          <t>PSYCHO</t>
        </is>
      </c>
      <c r="C178" t="inlineStr">
        <is>
          <t>A2</t>
        </is>
      </c>
      <c r="D178" t="inlineStr">
        <is>
          <t>Confidence Level (0–10)</t>
        </is>
      </c>
    </row>
    <row r="179">
      <c r="A179" t="inlineStr">
        <is>
          <t>DYZEN_STRUCTURAL_TREND_HUNTER_V1.xlsx</t>
        </is>
      </c>
      <c r="B179" t="inlineStr">
        <is>
          <t>PSYCHO</t>
        </is>
      </c>
      <c r="C179" t="inlineStr">
        <is>
          <t>A9</t>
        </is>
      </c>
      <c r="D179" t="inlineStr">
        <is>
          <t>Overconfidence Risk (LOW/MED/HIGH)</t>
        </is>
      </c>
    </row>
    <row r="180">
      <c r="A180" t="inlineStr">
        <is>
          <t>DYZEN_STRUCTURAL_TREND_HUNTER_V1.xlsx</t>
        </is>
      </c>
      <c r="B180" t="inlineStr">
        <is>
          <t>PSYCHO</t>
        </is>
      </c>
      <c r="C180" t="inlineStr">
        <is>
          <t>A11</t>
        </is>
      </c>
      <c r="D180" t="inlineStr">
        <is>
          <t>Revenge Trading Risk (YES/NO)</t>
        </is>
      </c>
    </row>
    <row r="181">
      <c r="A181" t="inlineStr">
        <is>
          <t>DYZEN_STRUCTURAL_TREND_HUNTER_V1.xlsx</t>
        </is>
      </c>
      <c r="B181" t="inlineStr">
        <is>
          <t>PSYCHO</t>
        </is>
      </c>
      <c r="C181" t="inlineStr">
        <is>
          <t>A16</t>
        </is>
      </c>
      <c r="D181" t="inlineStr">
        <is>
          <t>Psychology Risk Flag</t>
        </is>
      </c>
    </row>
    <row r="182">
      <c r="A182" t="inlineStr">
        <is>
          <t>DYZEN_STRUCTURAL_TREND_HUNTER_V1.xlsx</t>
        </is>
      </c>
      <c r="B182" t="inlineStr">
        <is>
          <t>PSYCHO</t>
        </is>
      </c>
      <c r="C182" t="inlineStr">
        <is>
          <t>A17</t>
        </is>
      </c>
      <c r="D182" t="inlineStr">
        <is>
          <t>Stability Threshold</t>
        </is>
      </c>
    </row>
    <row r="183">
      <c r="A183" t="inlineStr">
        <is>
          <t>DYZEN_STRUCTURAL_TREND_HUNTER_V1.xlsx</t>
        </is>
      </c>
      <c r="B183" t="inlineStr">
        <is>
          <t>RISK_ENGINE</t>
        </is>
      </c>
      <c r="C183" t="inlineStr">
        <is>
          <t>A1</t>
        </is>
      </c>
      <c r="D183" t="inlineStr">
        <is>
          <t>ZONE A — CAPITAL INPUTS (INPUT)</t>
        </is>
      </c>
    </row>
    <row r="184">
      <c r="A184" t="inlineStr">
        <is>
          <t>DYZEN_STRUCTURAL_TREND_HUNTER_V1.xlsx</t>
        </is>
      </c>
      <c r="B184" t="inlineStr">
        <is>
          <t>RISK_ENGINE</t>
        </is>
      </c>
      <c r="C184" t="inlineStr">
        <is>
          <t>A3</t>
        </is>
      </c>
      <c r="D184" t="inlineStr">
        <is>
          <t>Base Risk %</t>
        </is>
      </c>
    </row>
    <row r="185">
      <c r="A185" t="inlineStr">
        <is>
          <t>DYZEN_STRUCTURAL_TREND_HUNTER_V1.xlsx</t>
        </is>
      </c>
      <c r="B185" t="inlineStr">
        <is>
          <t>RISK_ENGINE</t>
        </is>
      </c>
      <c r="C185" t="inlineStr">
        <is>
          <t>A4</t>
        </is>
      </c>
      <c r="D185" t="inlineStr">
        <is>
          <t>Max Risk % per Day</t>
        </is>
      </c>
    </row>
    <row r="186">
      <c r="A186" t="inlineStr">
        <is>
          <t>DYZEN_STRUCTURAL_TREND_HUNTER_V1.xlsx</t>
        </is>
      </c>
      <c r="B186" t="inlineStr">
        <is>
          <t>RISK_ENGINE</t>
        </is>
      </c>
      <c r="C186" t="inlineStr">
        <is>
          <t>A5</t>
        </is>
      </c>
      <c r="D186" t="inlineStr">
        <is>
          <t>Max Risk % per Week</t>
        </is>
      </c>
    </row>
    <row r="187">
      <c r="A187" t="inlineStr">
        <is>
          <t>DYZEN_STRUCTURAL_TREND_HUNTER_V1.xlsx</t>
        </is>
      </c>
      <c r="B187" t="inlineStr">
        <is>
          <t>RISK_ENGINE</t>
        </is>
      </c>
      <c r="C187" t="inlineStr">
        <is>
          <t>A6</t>
        </is>
      </c>
      <c r="D187" t="inlineStr">
        <is>
          <t>Risk Appetite (LOW/MED/HIGH)</t>
        </is>
      </c>
    </row>
    <row r="188">
      <c r="A188" t="inlineStr">
        <is>
          <t>DYZEN_STRUCTURAL_TREND_HUNTER_V1.xlsx</t>
        </is>
      </c>
      <c r="B188" t="inlineStr">
        <is>
          <t>RISK_ENGINE</t>
        </is>
      </c>
      <c r="C188" t="inlineStr">
        <is>
          <t>A8</t>
        </is>
      </c>
      <c r="D188" t="inlineStr">
        <is>
          <t>ZONE B — PERFORMANCE &amp; DRAWDOWN STATES (DERIVED)</t>
        </is>
      </c>
    </row>
    <row r="189">
      <c r="A189" t="inlineStr">
        <is>
          <t>DYZEN_STRUCTURAL_TREND_HUNTER_V1.xlsx</t>
        </is>
      </c>
      <c r="B189" t="inlineStr">
        <is>
          <t>RISK_ENGINE</t>
        </is>
      </c>
      <c r="C189" t="inlineStr">
        <is>
          <t>A11</t>
        </is>
      </c>
      <c r="D189" t="inlineStr">
        <is>
          <t>Peak-to-Trough Drawdown %</t>
        </is>
      </c>
    </row>
    <row r="190">
      <c r="A190" t="inlineStr">
        <is>
          <t>DYZEN_STRUCTURAL_TREND_HUNTER_V1.xlsx</t>
        </is>
      </c>
      <c r="B190" t="inlineStr">
        <is>
          <t>RISK_ENGINE</t>
        </is>
      </c>
      <c r="C190" t="inlineStr">
        <is>
          <t>A15</t>
        </is>
      </c>
      <c r="D190" t="inlineStr">
        <is>
          <t>ZONE C — RISK GOVERNORS (LOGIC)</t>
        </is>
      </c>
    </row>
    <row r="191">
      <c r="A191" t="inlineStr">
        <is>
          <t>DYZEN_STRUCTURAL_TREND_HUNTER_V1.xlsx</t>
        </is>
      </c>
      <c r="B191" t="inlineStr">
        <is>
          <t>RISK_ENGINE</t>
        </is>
      </c>
      <c r="C191" t="inlineStr">
        <is>
          <t>A16</t>
        </is>
      </c>
      <c r="D191" t="inlineStr">
        <is>
          <t>Drawdown State (NORMAL/WARNING/LOCKDOWN)</t>
        </is>
      </c>
    </row>
    <row r="192">
      <c r="A192" t="inlineStr">
        <is>
          <t>DYZEN_STRUCTURAL_TREND_HUNTER_V1.xlsx</t>
        </is>
      </c>
      <c r="B192" t="inlineStr">
        <is>
          <t>RISK_ENGINE</t>
        </is>
      </c>
      <c r="C192" t="inlineStr">
        <is>
          <t>A17</t>
        </is>
      </c>
      <c r="D192" t="inlineStr">
        <is>
          <t>Risk Scaling Factor</t>
        </is>
      </c>
    </row>
    <row r="193">
      <c r="A193" t="inlineStr">
        <is>
          <t>DYZEN_STRUCTURAL_TREND_HUNTER_V1.xlsx</t>
        </is>
      </c>
      <c r="B193" t="inlineStr">
        <is>
          <t>RISK_ENGINE</t>
        </is>
      </c>
      <c r="C193" t="inlineStr">
        <is>
          <t>A19</t>
        </is>
      </c>
      <c r="D193" t="inlineStr">
        <is>
          <t>Capital Survival Score (0–100)</t>
        </is>
      </c>
    </row>
    <row r="194">
      <c r="A194" t="inlineStr">
        <is>
          <t>DYZEN_STRUCTURAL_TREND_HUNTER_V1.xlsx</t>
        </is>
      </c>
      <c r="B194" t="inlineStr">
        <is>
          <t>RISK_ENGINE</t>
        </is>
      </c>
      <c r="C194" t="inlineStr">
        <is>
          <t>A21</t>
        </is>
      </c>
      <c r="D194" t="inlineStr">
        <is>
          <t>ZONE D — RISK PERMISSION OUTPUT (DECISION)</t>
        </is>
      </c>
    </row>
    <row r="195">
      <c r="A195" t="inlineStr">
        <is>
          <t>DYZEN_STRUCTURAL_TREND_HUNTER_V1.xlsx</t>
        </is>
      </c>
      <c r="B195" t="inlineStr">
        <is>
          <t>RISK_ENGINE</t>
        </is>
      </c>
      <c r="C195" t="inlineStr">
        <is>
          <t>A24</t>
        </is>
      </c>
      <c r="D195" t="inlineStr">
        <is>
          <t>Risk Block Reason</t>
        </is>
      </c>
    </row>
    <row r="196">
      <c r="A196" t="inlineStr">
        <is>
          <t>DYZEN_STRUCTURAL_TREND_HUNTER_V1.xlsx</t>
        </is>
      </c>
      <c r="B196" t="inlineStr">
        <is>
          <t>SIGNAL_OUTBOX</t>
        </is>
      </c>
      <c r="C196" t="inlineStr">
        <is>
          <t>F2</t>
        </is>
      </c>
      <c r="D196" t="inlineStr">
        <is>
          <t>SELL</t>
        </is>
      </c>
    </row>
    <row r="197">
      <c r="A197" t="inlineStr">
        <is>
          <t>DYZEN_STRUCTURAL_TREND_HUNTER_V1.xlsx</t>
        </is>
      </c>
      <c r="B197" t="inlineStr">
        <is>
          <t>SIGNAL_OUTBOX</t>
        </is>
      </c>
      <c r="C197" t="inlineStr">
        <is>
          <t>G2</t>
        </is>
      </c>
      <c r="D197">
        <f>SELL_PROFILE_FIXED!M2</f>
        <v/>
      </c>
    </row>
    <row r="198">
      <c r="A198" t="inlineStr">
        <is>
          <t>DYZEN_STRUCTURAL_TREND_HUNTER_V1.xlsx</t>
        </is>
      </c>
      <c r="B198" t="inlineStr">
        <is>
          <t>SIGNAL_OUTBOX</t>
        </is>
      </c>
      <c r="C198" t="inlineStr">
        <is>
          <t>H2</t>
        </is>
      </c>
      <c r="D198">
        <f>SELL_PROFILE_FIXED!N2</f>
        <v/>
      </c>
    </row>
    <row r="199">
      <c r="A199" t="inlineStr">
        <is>
          <t>DYZEN_STRUCTURAL_TREND_HUNTER_V1.xlsx</t>
        </is>
      </c>
      <c r="B199" t="inlineStr">
        <is>
          <t>SIGNAL_OUTBOX</t>
        </is>
      </c>
      <c r="C199" t="inlineStr">
        <is>
          <t>A4</t>
        </is>
      </c>
      <c r="D199" t="inlineStr">
        <is>
          <t>Verdict Confidence Level</t>
        </is>
      </c>
    </row>
    <row r="200">
      <c r="A200" t="inlineStr">
        <is>
          <t>DYZEN_STRUCTURAL_TREND_HUNTER_V1.xlsx</t>
        </is>
      </c>
      <c r="B200" t="inlineStr">
        <is>
          <t>SIGNAL_OUTBOX</t>
        </is>
      </c>
      <c r="C200" t="inlineStr">
        <is>
          <t>A10</t>
        </is>
      </c>
      <c r="D200" t="inlineStr">
        <is>
          <t>Confidence Check</t>
        </is>
      </c>
    </row>
    <row r="201">
      <c r="A201" t="inlineStr">
        <is>
          <t>DYZEN_STRUCTURAL_TREND_HUNTER_V1.xlsx</t>
        </is>
      </c>
      <c r="B201" t="inlineStr">
        <is>
          <t>JOURNAL</t>
        </is>
      </c>
      <c r="C201" t="inlineStr">
        <is>
          <t>C1</t>
        </is>
      </c>
      <c r="D201" t="inlineStr">
        <is>
          <t>Regime</t>
        </is>
      </c>
    </row>
    <row r="202">
      <c r="A202" t="inlineStr">
        <is>
          <t>DYZEN_STRUCTURAL_TREND_HUNTER_V1.xlsx</t>
        </is>
      </c>
      <c r="B202" t="inlineStr">
        <is>
          <t>PERMISSION_BUS</t>
        </is>
      </c>
      <c r="C202" t="inlineStr">
        <is>
          <t>A2</t>
        </is>
      </c>
      <c r="D202" t="inlineStr">
        <is>
          <t>Market Regime OK</t>
        </is>
      </c>
    </row>
    <row r="203">
      <c r="A203" t="inlineStr">
        <is>
          <t>DYZEN_STRUCTURAL_TREND_HUNTER_V1.xlsx</t>
        </is>
      </c>
      <c r="B203" t="inlineStr">
        <is>
          <t>PERMISSION_BUS</t>
        </is>
      </c>
      <c r="C203" t="inlineStr">
        <is>
          <t>A3</t>
        </is>
      </c>
      <c r="D203" t="inlineStr">
        <is>
          <t>Risk Engine OK</t>
        </is>
      </c>
    </row>
    <row r="204">
      <c r="A204" t="inlineStr">
        <is>
          <t>DYZEN_STRUCTURAL_TREND_HUNTER_V1.xlsx</t>
        </is>
      </c>
      <c r="B204" t="inlineStr">
        <is>
          <t>PERMISSION_BUS</t>
        </is>
      </c>
      <c r="C204" t="inlineStr">
        <is>
          <t>A14</t>
        </is>
      </c>
      <c r="D204" t="inlineStr">
        <is>
          <t>Verdict Confidence Level</t>
        </is>
      </c>
    </row>
    <row r="205">
      <c r="A205" t="inlineStr">
        <is>
          <t>DYZEN_STRUCTURAL_TREND_HUNTER_V1.xlsx</t>
        </is>
      </c>
      <c r="B205" t="inlineStr">
        <is>
          <t>SELL_PROFILE</t>
        </is>
      </c>
      <c r="C205" t="inlineStr">
        <is>
          <t>C1</t>
        </is>
      </c>
      <c r="D205" t="inlineStr">
        <is>
          <t>SELL_PROFILE</t>
        </is>
      </c>
    </row>
    <row r="206">
      <c r="A206" t="inlineStr">
        <is>
          <t>DYZEN_STRUCTURAL_TREND_HUNTER_V1.xlsx</t>
        </is>
      </c>
      <c r="B206" t="inlineStr">
        <is>
          <t>SELL_PROFILE</t>
        </is>
      </c>
      <c r="C206" t="inlineStr">
        <is>
          <t>A2</t>
        </is>
      </c>
      <c r="D206" t="inlineStr">
        <is>
          <t>CONFIDENCE_MIN</t>
        </is>
      </c>
    </row>
    <row r="207">
      <c r="A207" t="inlineStr">
        <is>
          <t>DYZEN_STRUCTURAL_TREND_HUNTER_V1.xlsx</t>
        </is>
      </c>
      <c r="B207" t="inlineStr">
        <is>
          <t>SELL_PROFILE</t>
        </is>
      </c>
      <c r="C207" t="inlineStr">
        <is>
          <t>D2</t>
        </is>
      </c>
      <c r="D207" t="inlineStr">
        <is>
          <t>SELL-ს ნაკლები სიზუსტე სჭირდება</t>
        </is>
      </c>
    </row>
    <row r="208">
      <c r="A208" t="inlineStr">
        <is>
          <t>DYZEN_STRUCTURAL_TREND_HUNTER_V1.xlsx</t>
        </is>
      </c>
      <c r="B208" t="inlineStr">
        <is>
          <t>SELL_PROFILE</t>
        </is>
      </c>
      <c r="C208" t="inlineStr">
        <is>
          <t>D3</t>
        </is>
      </c>
      <c r="D208" t="inlineStr">
        <is>
          <t>SELL უფრო გვიანაც დაიშვება</t>
        </is>
      </c>
    </row>
    <row r="209">
      <c r="A209" t="inlineStr">
        <is>
          <t>DYZEN_STRUCTURAL_TREND_HUNTER_V1.xlsx</t>
        </is>
      </c>
      <c r="B209" t="inlineStr">
        <is>
          <t>SELL_PROFILE</t>
        </is>
      </c>
      <c r="C209" t="inlineStr">
        <is>
          <t>D4</t>
        </is>
      </c>
      <c r="D209" t="inlineStr">
        <is>
          <t>SELL იღებს თხელ წიგნსაც</t>
        </is>
      </c>
    </row>
    <row r="210">
      <c r="A210" t="inlineStr">
        <is>
          <t>DYZEN_STRUCTURAL_TREND_HUNTER_V1.xlsx</t>
        </is>
      </c>
      <c r="B210" t="inlineStr">
        <is>
          <t>SELL_PROFILE</t>
        </is>
      </c>
      <c r="C210" t="inlineStr">
        <is>
          <t>A5</t>
        </is>
      </c>
      <c r="D210" t="inlineStr">
        <is>
          <t>RISK_STRICTNESS</t>
        </is>
      </c>
    </row>
    <row r="211">
      <c r="A211" t="inlineStr">
        <is>
          <t>DYZEN_STRUCTURAL_TREND_HUNTER_V1.xlsx</t>
        </is>
      </c>
      <c r="B211" t="inlineStr">
        <is>
          <t>SELL_PROFILE</t>
        </is>
      </c>
      <c r="C211" t="inlineStr">
        <is>
          <t>D5</t>
        </is>
      </c>
      <c r="D211" t="inlineStr">
        <is>
          <t>SELL = damage control</t>
        </is>
      </c>
    </row>
    <row r="212">
      <c r="A212" t="inlineStr">
        <is>
          <t>DYZEN_STRUCTURAL_TREND_HUNTER_V1.xlsx</t>
        </is>
      </c>
      <c r="B212" t="inlineStr">
        <is>
          <t>SELL_PROFILE</t>
        </is>
      </c>
      <c r="C212" t="inlineStr">
        <is>
          <t>D6</t>
        </is>
      </c>
      <c r="D212" t="inlineStr">
        <is>
          <t>SELL არ ეძებს პიკს</t>
        </is>
      </c>
    </row>
    <row r="213">
      <c r="A213" t="inlineStr">
        <is>
          <t>DYZEN_STRUCTURAL_TREND_HUNTER_V1.xlsx</t>
        </is>
      </c>
      <c r="B213" t="inlineStr">
        <is>
          <t>SELL_PROFILE</t>
        </is>
      </c>
      <c r="C213" t="inlineStr">
        <is>
          <t>A7</t>
        </is>
      </c>
      <c r="D213" t="inlineStr">
        <is>
          <t>URGENCY_WEIGHT</t>
        </is>
      </c>
    </row>
    <row r="214">
      <c r="A214" t="inlineStr">
        <is>
          <t>DYZEN_STRUCTURAL_TREND_HUNTER_V1.xlsx</t>
        </is>
      </c>
      <c r="B214" t="inlineStr">
        <is>
          <t>SELL_PROFILE</t>
        </is>
      </c>
      <c r="C214" t="inlineStr">
        <is>
          <t>D7</t>
        </is>
      </c>
      <c r="D214" t="inlineStr">
        <is>
          <t>SELL რეაგირებს სწრაფად</t>
        </is>
      </c>
    </row>
    <row r="215">
      <c r="A215" t="inlineStr">
        <is>
          <t>DYZEN_STRUCTURAL_TREND_HUNTER_V1.xlsx</t>
        </is>
      </c>
      <c r="B215" t="inlineStr">
        <is>
          <t>SELL_PROFILE_FIXED</t>
        </is>
      </c>
      <c r="C215" t="inlineStr">
        <is>
          <t>A1</t>
        </is>
      </c>
      <c r="D215" t="inlineStr">
        <is>
          <t>SELL_CONFIDENCE</t>
        </is>
      </c>
    </row>
    <row r="216">
      <c r="A216" t="inlineStr">
        <is>
          <t>DYZEN_STRUCTURAL_TREND_HUNTER_V1.xlsx</t>
        </is>
      </c>
      <c r="B216" t="inlineStr">
        <is>
          <t>SELL_PROFILE_FIXED</t>
        </is>
      </c>
      <c r="C216" t="inlineStr">
        <is>
          <t>B1</t>
        </is>
      </c>
      <c r="D216" t="inlineStr">
        <is>
          <t>SELL_CONFIDENCE_OK</t>
        </is>
      </c>
    </row>
    <row r="217">
      <c r="A217" t="inlineStr">
        <is>
          <t>DYZEN_STRUCTURAL_TREND_HUNTER_V1.xlsx</t>
        </is>
      </c>
      <c r="B217" t="inlineStr">
        <is>
          <t>SELL_PROFILE_FIXED</t>
        </is>
      </c>
      <c r="C217" t="inlineStr">
        <is>
          <t>D1</t>
        </is>
      </c>
      <c r="D217" t="inlineStr">
        <is>
          <t>SELL_RISK_STATE_OK</t>
        </is>
      </c>
    </row>
    <row r="218">
      <c r="A218" t="inlineStr">
        <is>
          <t>DYZEN_STRUCTURAL_TREND_HUNTER_V1.xlsx</t>
        </is>
      </c>
      <c r="B218" t="inlineStr">
        <is>
          <t>SELL_PROFILE_FIXED</t>
        </is>
      </c>
      <c r="C218" t="inlineStr">
        <is>
          <t>E1</t>
        </is>
      </c>
      <c r="D218" t="inlineStr">
        <is>
          <t>SELL_STREAK_OK</t>
        </is>
      </c>
    </row>
    <row r="219">
      <c r="A219" t="inlineStr">
        <is>
          <t>DYZEN_STRUCTURAL_TREND_HUNTER_V1.xlsx</t>
        </is>
      </c>
      <c r="B219" t="inlineStr">
        <is>
          <t>SELL_PROFILE_FIXED</t>
        </is>
      </c>
      <c r="C219" t="inlineStr">
        <is>
          <t>G1</t>
        </is>
      </c>
      <c r="D219" t="inlineStr">
        <is>
          <t>PARTIAL_SELL_PCT</t>
        </is>
      </c>
    </row>
    <row r="220">
      <c r="A220" t="inlineStr">
        <is>
          <t>DYZEN_STRUCTURAL_TREND_HUNTER_V1.xlsx</t>
        </is>
      </c>
      <c r="B220" t="inlineStr">
        <is>
          <t>SELL_PROFILE_FIXED</t>
        </is>
      </c>
      <c r="C220" t="inlineStr">
        <is>
          <t>H1</t>
        </is>
      </c>
      <c r="D220" t="inlineStr">
        <is>
          <t>SELL_ALLOWED</t>
        </is>
      </c>
    </row>
    <row r="221">
      <c r="A221" t="inlineStr">
        <is>
          <t>DYZEN_STRUCTURAL_TREND_HUNTER_V1.xlsx</t>
        </is>
      </c>
      <c r="B221" t="inlineStr">
        <is>
          <t>SELL_PROFILE_FIXED</t>
        </is>
      </c>
      <c r="C221" t="inlineStr">
        <is>
          <t>I1</t>
        </is>
      </c>
      <c r="D221" t="inlineStr">
        <is>
          <t>PRESELL_TRIGGER</t>
        </is>
      </c>
    </row>
    <row r="222">
      <c r="A222" t="inlineStr">
        <is>
          <t>DYZEN_STRUCTURAL_TREND_HUNTER_V1.xlsx</t>
        </is>
      </c>
      <c r="B222" t="inlineStr">
        <is>
          <t>SELL_PROFILE_FIXED</t>
        </is>
      </c>
      <c r="C222" t="inlineStr">
        <is>
          <t>J1</t>
        </is>
      </c>
      <c r="D222" t="inlineStr">
        <is>
          <t>PRESELL_PCT</t>
        </is>
      </c>
    </row>
    <row r="223">
      <c r="A223" t="inlineStr">
        <is>
          <t>DYZEN_STRUCTURAL_TREND_HUNTER_V1.xlsx</t>
        </is>
      </c>
      <c r="B223" t="inlineStr">
        <is>
          <t>SELL_PROFILE_FIXED</t>
        </is>
      </c>
      <c r="C223" t="inlineStr">
        <is>
          <t>L1</t>
        </is>
      </c>
      <c r="D223" t="inlineStr">
        <is>
          <t>EMERGENCY_SELL_PCT</t>
        </is>
      </c>
    </row>
    <row r="224">
      <c r="A224" t="inlineStr">
        <is>
          <t>DYZEN_STRUCTURAL_TREND_HUNTER_V1.xlsx</t>
        </is>
      </c>
      <c r="B224" t="inlineStr">
        <is>
          <t>SELL_PROFILE_FIXED</t>
        </is>
      </c>
      <c r="C224" t="inlineStr">
        <is>
          <t>M1</t>
        </is>
      </c>
      <c r="D224" t="inlineStr">
        <is>
          <t>SELL_ACTION</t>
        </is>
      </c>
    </row>
    <row r="225">
      <c r="A225" t="inlineStr">
        <is>
          <t>DYZEN_STRUCTURAL_TREND_HUNTER_V1.xlsx</t>
        </is>
      </c>
      <c r="B225" t="inlineStr">
        <is>
          <t>SELL_PROFILE_FIXED</t>
        </is>
      </c>
      <c r="C225" t="inlineStr">
        <is>
          <t>N1</t>
        </is>
      </c>
      <c r="D225" t="inlineStr">
        <is>
          <t>SELL_PCT_FINAL</t>
        </is>
      </c>
    </row>
    <row r="226">
      <c r="A226" t="inlineStr">
        <is>
          <t>DYZEN_STRUCTURAL_TREND_HUNTER_V1.xlsx</t>
        </is>
      </c>
      <c r="B226" t="inlineStr">
        <is>
          <t>SELL_PROFILE_FIXED</t>
        </is>
      </c>
      <c r="C226" t="inlineStr">
        <is>
          <t>P1</t>
        </is>
      </c>
      <c r="D226" t="inlineStr">
        <is>
          <t>SELL_FEE_PCT</t>
        </is>
      </c>
    </row>
    <row r="227">
      <c r="A227" t="inlineStr">
        <is>
          <t>DYZEN_STRUCTURAL_TREND_HUNTER_V1.xlsx</t>
        </is>
      </c>
      <c r="B227" t="inlineStr">
        <is>
          <t>SELL_PROFILE_FIXED</t>
        </is>
      </c>
      <c r="C227" t="inlineStr">
        <is>
          <t>U1</t>
        </is>
      </c>
      <c r="D227" t="inlineStr">
        <is>
          <t>SELL_ALLOWED_FINAL</t>
        </is>
      </c>
    </row>
    <row r="228">
      <c r="A228" t="inlineStr">
        <is>
          <t>DYZEN_STRUCTURAL_TREND_HUNTER_V1.xlsx</t>
        </is>
      </c>
      <c r="B228" t="inlineStr">
        <is>
          <t>SELL_PROFILE_FIXED</t>
        </is>
      </c>
      <c r="C228" t="inlineStr">
        <is>
          <t>A2</t>
        </is>
      </c>
      <c r="D228">
        <f>SELL_PROFILE!B2</f>
        <v/>
      </c>
    </row>
    <row r="229">
      <c r="A229" t="inlineStr">
        <is>
          <t>DYZEN_STRUCTURAL_TREND_HUNTER_V1.xlsx</t>
        </is>
      </c>
      <c r="B229" t="inlineStr">
        <is>
          <t>SELL_PROFILE_FIXED</t>
        </is>
      </c>
      <c r="C229" t="inlineStr">
        <is>
          <t>D2</t>
        </is>
      </c>
      <c r="D229">
        <f>RISK_ENGINE!B2="OK"</f>
        <v/>
      </c>
    </row>
    <row r="230">
      <c r="A230" t="inlineStr">
        <is>
          <t>DYZEN_STRUCTURAL_TREND_HUNTER_V1.xlsx</t>
        </is>
      </c>
      <c r="B230" t="inlineStr">
        <is>
          <t>SELL_PROFILE_FIXED</t>
        </is>
      </c>
      <c r="C230" t="inlineStr">
        <is>
          <t>G2</t>
        </is>
      </c>
      <c r="D230">
        <f>IF(SELL_ALLOWED,0.3,0)</f>
        <v/>
      </c>
    </row>
    <row r="231">
      <c r="A231" t="inlineStr">
        <is>
          <t>DYZEN_STRUCTURAL_TREND_HUNTER_V1.xlsx</t>
        </is>
      </c>
      <c r="B231" t="inlineStr">
        <is>
          <t>SELL_PROFILE_FIXED</t>
        </is>
      </c>
      <c r="C231" t="inlineStr">
        <is>
          <t>K2</t>
        </is>
      </c>
      <c r="D231">
        <f>AND(RISK_ENGINE!B2="ALERT",MARKET!B2="VOL_SPIKE")</f>
        <v/>
      </c>
    </row>
    <row r="232">
      <c r="A232" t="inlineStr">
        <is>
          <t>DYZEN_STRUCTURAL_TREND_HUNTER_V1.xlsx</t>
        </is>
      </c>
      <c r="B232" t="inlineStr">
        <is>
          <t>SELL_PARTIAL_RUNNER</t>
        </is>
      </c>
      <c r="C232" t="inlineStr">
        <is>
          <t>A7</t>
        </is>
      </c>
      <c r="D232" t="inlineStr">
        <is>
          <t>PARTIAL_SELL_ALLOWED</t>
        </is>
      </c>
    </row>
    <row r="233">
      <c r="A233" t="inlineStr">
        <is>
          <t>DYZEN_STRUCTURAL_TREND_HUNTER_V1.xlsx</t>
        </is>
      </c>
      <c r="B233" t="inlineStr">
        <is>
          <t>SELL_PARTIAL_RUNNER</t>
        </is>
      </c>
      <c r="C233" t="inlineStr">
        <is>
          <t>A8</t>
        </is>
      </c>
      <c r="D233" t="inlineStr">
        <is>
          <t>RUNNER_SELL_ALLOWED</t>
        </is>
      </c>
    </row>
    <row r="234">
      <c r="A234" t="inlineStr">
        <is>
          <t>DYZEN_STRUCTURAL_TREND_HUNTER_V1.xlsx</t>
        </is>
      </c>
      <c r="B234" t="inlineStr">
        <is>
          <t>SELL_PARTIAL_RUNNER</t>
        </is>
      </c>
      <c r="C234" t="inlineStr">
        <is>
          <t>B8</t>
        </is>
      </c>
      <c r="D234">
        <f>SELL_ALLOWED_FINAL</f>
        <v/>
      </c>
    </row>
    <row r="235">
      <c r="A235" t="inlineStr">
        <is>
          <t>DYZEN_STRUCTURAL_TREND_HUNTER_V1.xlsx</t>
        </is>
      </c>
      <c r="B235" t="inlineStr">
        <is>
          <t>SELL_CONFIDENCE_LAYER</t>
        </is>
      </c>
      <c r="C235" t="inlineStr">
        <is>
          <t>A5</t>
        </is>
      </c>
      <c r="D235" t="inlineStr">
        <is>
          <t>SELL_CONFIDENCE_OK</t>
        </is>
      </c>
    </row>
    <row r="236">
      <c r="A236" t="inlineStr">
        <is>
          <t>DYZEN_STRUCTURAL_TREND_HUNTER_V1.xlsx</t>
        </is>
      </c>
      <c r="B236" t="inlineStr">
        <is>
          <t>SELL_FINAL_WRAPPER</t>
        </is>
      </c>
      <c r="C236" t="inlineStr">
        <is>
          <t>A1</t>
        </is>
      </c>
      <c r="D236" t="inlineStr">
        <is>
          <t>SELL_ALLOWED_DEEP</t>
        </is>
      </c>
    </row>
    <row r="237">
      <c r="A237" t="inlineStr">
        <is>
          <t>DYZEN_STRUCTURAL_TREND_HUNTER_V1.xlsx</t>
        </is>
      </c>
      <c r="B237" t="inlineStr">
        <is>
          <t>SELL_FINAL_WRAPPER</t>
        </is>
      </c>
      <c r="C237" t="inlineStr">
        <is>
          <t>B1</t>
        </is>
      </c>
      <c r="D237">
        <f>AND(SELL_ALLOWED_FINAL,SELL_CONFIDENCE_OK,TIME_FLOOR_OK)</f>
        <v/>
      </c>
    </row>
    <row r="238">
      <c r="A238" t="inlineStr">
        <is>
          <t>DYZEN_STRUCTURAL_TREND_HUNTER_V1.xlsx</t>
        </is>
      </c>
      <c r="B238" t="inlineStr">
        <is>
          <t>SELL_FINAL_WRAPPER</t>
        </is>
      </c>
      <c r="C238" t="inlineStr">
        <is>
          <t>B3</t>
        </is>
      </c>
      <c r="D238" t="inlineStr">
        <is>
          <t>Deep pass – high confidence exit only</t>
        </is>
      </c>
    </row>
    <row r="239">
      <c r="A239" t="inlineStr">
        <is>
          <t>DYZEN_STRUCTURAL_TREND_HUNTER_V1.xlsx</t>
        </is>
      </c>
      <c r="B239" t="inlineStr">
        <is>
          <t>STRUCTURE_ENGINE</t>
        </is>
      </c>
      <c r="C239" t="inlineStr">
        <is>
          <t>I1</t>
        </is>
      </c>
      <c r="D239" t="inlineStr">
        <is>
          <t>RISK_PER_TRADE</t>
        </is>
      </c>
    </row>
    <row r="240">
      <c r="A240" t="inlineStr">
        <is>
          <t>3# SELL_LIVE_PROFIT_GATED_V3_PATCHED.xlsx</t>
        </is>
      </c>
      <c r="B240" t="inlineStr">
        <is>
          <t>README</t>
        </is>
      </c>
      <c r="C240" t="inlineStr">
        <is>
          <t>B2</t>
        </is>
      </c>
      <c r="D240" t="inlineStr">
        <is>
          <t>DYZEN CAPITAL OS</t>
        </is>
      </c>
    </row>
    <row r="241">
      <c r="A241" t="inlineStr">
        <is>
          <t>3# SELL_LIVE_PROFIT_GATED_V3_PATCHED.xlsx</t>
        </is>
      </c>
      <c r="B241" t="inlineStr">
        <is>
          <t>README</t>
        </is>
      </c>
      <c r="C241" t="inlineStr">
        <is>
          <t>B4</t>
        </is>
      </c>
      <c r="D241" t="inlineStr">
        <is>
          <t>Private Decision Engine for Capital, Risk &amp; Trading Intelligence</t>
        </is>
      </c>
    </row>
    <row r="242">
      <c r="A242" t="inlineStr">
        <is>
          <t>3# SELL_LIVE_PROFIT_GATED_V3_PATCHED.xlsx</t>
        </is>
      </c>
      <c r="B242" t="inlineStr">
        <is>
          <t>README</t>
        </is>
      </c>
      <c r="C242" t="inlineStr">
        <is>
          <t>B7</t>
        </is>
      </c>
      <c r="D24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243">
      <c r="A243" t="inlineStr">
        <is>
          <t>3# SELL_LIVE_PROFIT_GATED_V3_PATCHED.xlsx</t>
        </is>
      </c>
      <c r="B243" t="inlineStr">
        <is>
          <t>INPUTS</t>
        </is>
      </c>
      <c r="C243" t="inlineStr">
        <is>
          <t>A1</t>
        </is>
      </c>
      <c r="D243" t="inlineStr">
        <is>
          <t>Capital</t>
        </is>
      </c>
    </row>
    <row r="244">
      <c r="A244" t="inlineStr">
        <is>
          <t>3# SELL_LIVE_PROFIT_GATED_V3_PATCHED.xlsx</t>
        </is>
      </c>
      <c r="B244" t="inlineStr">
        <is>
          <t>INPUTS</t>
        </is>
      </c>
      <c r="C244" t="inlineStr">
        <is>
          <t>B1</t>
        </is>
      </c>
      <c r="D244" t="inlineStr">
        <is>
          <t>Risk Appetite</t>
        </is>
      </c>
    </row>
    <row r="245">
      <c r="A245" t="inlineStr">
        <is>
          <t>3# SELL_LIVE_PROFIT_GATED_V3_PATCHED.xlsx</t>
        </is>
      </c>
      <c r="B245" t="inlineStr">
        <is>
          <t>MARKET</t>
        </is>
      </c>
      <c r="C245" t="inlineStr">
        <is>
          <t>C1</t>
        </is>
      </c>
      <c r="D245" t="inlineStr">
        <is>
          <t>Regime Score</t>
        </is>
      </c>
    </row>
    <row r="246">
      <c r="A246" t="inlineStr">
        <is>
          <t>3# SELL_LIVE_PROFIT_GATED_V3_PATCHED.xlsx</t>
        </is>
      </c>
      <c r="B246" t="inlineStr">
        <is>
          <t>MARKET</t>
        </is>
      </c>
      <c r="C246" t="inlineStr">
        <is>
          <t>D1</t>
        </is>
      </c>
      <c r="D246" t="inlineStr">
        <is>
          <t>Regime OK</t>
        </is>
      </c>
    </row>
    <row r="247">
      <c r="A247" t="inlineStr">
        <is>
          <t>3# SELL_LIVE_PROFIT_GATED_V3_PATCHED.xlsx</t>
        </is>
      </c>
      <c r="B247" t="inlineStr">
        <is>
          <t>SETUP</t>
        </is>
      </c>
      <c r="C247" t="inlineStr">
        <is>
          <t>A6</t>
        </is>
      </c>
      <c r="D247" t="inlineStr">
        <is>
          <t>Risk : Reward Ratio</t>
        </is>
      </c>
    </row>
    <row r="248">
      <c r="A248" t="inlineStr">
        <is>
          <t>3# SELL_LIVE_PROFIT_GATED_V3_PATCHED.xlsx</t>
        </is>
      </c>
      <c r="B248" t="inlineStr">
        <is>
          <t>SETUP</t>
        </is>
      </c>
      <c r="C248" t="inlineStr">
        <is>
          <t>A17</t>
        </is>
      </c>
      <c r="D248" t="inlineStr">
        <is>
          <t>Late Entry Risk</t>
        </is>
      </c>
    </row>
    <row r="249">
      <c r="A249" t="inlineStr">
        <is>
          <t>3# SELL_LIVE_PROFIT_GATED_V3_PATCHED.xlsx</t>
        </is>
      </c>
      <c r="B249" t="inlineStr">
        <is>
          <t>PSYCHO</t>
        </is>
      </c>
      <c r="C249" t="inlineStr">
        <is>
          <t>A2</t>
        </is>
      </c>
      <c r="D249" t="inlineStr">
        <is>
          <t>Confidence Level (0–10)</t>
        </is>
      </c>
    </row>
    <row r="250">
      <c r="A250" t="inlineStr">
        <is>
          <t>3# SELL_LIVE_PROFIT_GATED_V3_PATCHED.xlsx</t>
        </is>
      </c>
      <c r="B250" t="inlineStr">
        <is>
          <t>PSYCHO</t>
        </is>
      </c>
      <c r="C250" t="inlineStr">
        <is>
          <t>A9</t>
        </is>
      </c>
      <c r="D250" t="inlineStr">
        <is>
          <t>Overconfidence Risk (LOW/MED/HIGH)</t>
        </is>
      </c>
    </row>
    <row r="251">
      <c r="A251" t="inlineStr">
        <is>
          <t>3# SELL_LIVE_PROFIT_GATED_V3_PATCHED.xlsx</t>
        </is>
      </c>
      <c r="B251" t="inlineStr">
        <is>
          <t>PSYCHO</t>
        </is>
      </c>
      <c r="C251" t="inlineStr">
        <is>
          <t>A11</t>
        </is>
      </c>
      <c r="D251" t="inlineStr">
        <is>
          <t>Revenge Trading Risk (YES/NO)</t>
        </is>
      </c>
    </row>
    <row r="252">
      <c r="A252" t="inlineStr">
        <is>
          <t>3# SELL_LIVE_PROFIT_GATED_V3_PATCHED.xlsx</t>
        </is>
      </c>
      <c r="B252" t="inlineStr">
        <is>
          <t>PSYCHO</t>
        </is>
      </c>
      <c r="C252" t="inlineStr">
        <is>
          <t>A16</t>
        </is>
      </c>
      <c r="D252" t="inlineStr">
        <is>
          <t>Psychology Risk Flag</t>
        </is>
      </c>
    </row>
    <row r="253">
      <c r="A253" t="inlineStr">
        <is>
          <t>3# SELL_LIVE_PROFIT_GATED_V3_PATCHED.xlsx</t>
        </is>
      </c>
      <c r="B253" t="inlineStr">
        <is>
          <t>PSYCHO</t>
        </is>
      </c>
      <c r="C253" t="inlineStr">
        <is>
          <t>A17</t>
        </is>
      </c>
      <c r="D253" t="inlineStr">
        <is>
          <t>Stability Threshold</t>
        </is>
      </c>
    </row>
    <row r="254">
      <c r="A254" t="inlineStr">
        <is>
          <t>3# SELL_LIVE_PROFIT_GATED_V3_PATCHED.xlsx</t>
        </is>
      </c>
      <c r="B254" t="inlineStr">
        <is>
          <t>RISK_ENGINE</t>
        </is>
      </c>
      <c r="C254" t="inlineStr">
        <is>
          <t>A1</t>
        </is>
      </c>
      <c r="D254" t="inlineStr">
        <is>
          <t>ZONE A — CAPITAL INPUTS (INPUT)</t>
        </is>
      </c>
    </row>
    <row r="255">
      <c r="A255" t="inlineStr">
        <is>
          <t>3# SELL_LIVE_PROFIT_GATED_V3_PATCHED.xlsx</t>
        </is>
      </c>
      <c r="B255" t="inlineStr">
        <is>
          <t>RISK_ENGINE</t>
        </is>
      </c>
      <c r="C255" t="inlineStr">
        <is>
          <t>A3</t>
        </is>
      </c>
      <c r="D255" t="inlineStr">
        <is>
          <t>Base Risk %</t>
        </is>
      </c>
    </row>
    <row r="256">
      <c r="A256" t="inlineStr">
        <is>
          <t>3# SELL_LIVE_PROFIT_GATED_V3_PATCHED.xlsx</t>
        </is>
      </c>
      <c r="B256" t="inlineStr">
        <is>
          <t>RISK_ENGINE</t>
        </is>
      </c>
      <c r="C256" t="inlineStr">
        <is>
          <t>A4</t>
        </is>
      </c>
      <c r="D256" t="inlineStr">
        <is>
          <t>Max Risk % per Day</t>
        </is>
      </c>
    </row>
    <row r="257">
      <c r="A257" t="inlineStr">
        <is>
          <t>3# SELL_LIVE_PROFIT_GATED_V3_PATCHED.xlsx</t>
        </is>
      </c>
      <c r="B257" t="inlineStr">
        <is>
          <t>RISK_ENGINE</t>
        </is>
      </c>
      <c r="C257" t="inlineStr">
        <is>
          <t>A5</t>
        </is>
      </c>
      <c r="D257" t="inlineStr">
        <is>
          <t>Max Risk % per Week</t>
        </is>
      </c>
    </row>
    <row r="258">
      <c r="A258" t="inlineStr">
        <is>
          <t>3# SELL_LIVE_PROFIT_GATED_V3_PATCHED.xlsx</t>
        </is>
      </c>
      <c r="B258" t="inlineStr">
        <is>
          <t>RISK_ENGINE</t>
        </is>
      </c>
      <c r="C258" t="inlineStr">
        <is>
          <t>A6</t>
        </is>
      </c>
      <c r="D258" t="inlineStr">
        <is>
          <t>Risk Appetite (LOW/MED/HIGH)</t>
        </is>
      </c>
    </row>
    <row r="259">
      <c r="A259" t="inlineStr">
        <is>
          <t>3# SELL_LIVE_PROFIT_GATED_V3_PATCHED.xlsx</t>
        </is>
      </c>
      <c r="B259" t="inlineStr">
        <is>
          <t>RISK_ENGINE</t>
        </is>
      </c>
      <c r="C259" t="inlineStr">
        <is>
          <t>A8</t>
        </is>
      </c>
      <c r="D259" t="inlineStr">
        <is>
          <t>ZONE B — PERFORMANCE &amp; DRAWDOWN STATES (DERIVED)</t>
        </is>
      </c>
    </row>
    <row r="260">
      <c r="A260" t="inlineStr">
        <is>
          <t>3# SELL_LIVE_PROFIT_GATED_V3_PATCHED.xlsx</t>
        </is>
      </c>
      <c r="B260" t="inlineStr">
        <is>
          <t>RISK_ENGINE</t>
        </is>
      </c>
      <c r="C260" t="inlineStr">
        <is>
          <t>A11</t>
        </is>
      </c>
      <c r="D260" t="inlineStr">
        <is>
          <t>Peak-to-Trough Drawdown %</t>
        </is>
      </c>
    </row>
    <row r="261">
      <c r="A261" t="inlineStr">
        <is>
          <t>3# SELL_LIVE_PROFIT_GATED_V3_PATCHED.xlsx</t>
        </is>
      </c>
      <c r="B261" t="inlineStr">
        <is>
          <t>RISK_ENGINE</t>
        </is>
      </c>
      <c r="C261" t="inlineStr">
        <is>
          <t>A15</t>
        </is>
      </c>
      <c r="D261" t="inlineStr">
        <is>
          <t>ZONE C — RISK GOVERNORS (LOGIC)</t>
        </is>
      </c>
    </row>
    <row r="262">
      <c r="A262" t="inlineStr">
        <is>
          <t>3# SELL_LIVE_PROFIT_GATED_V3_PATCHED.xlsx</t>
        </is>
      </c>
      <c r="B262" t="inlineStr">
        <is>
          <t>RISK_ENGINE</t>
        </is>
      </c>
      <c r="C262" t="inlineStr">
        <is>
          <t>A16</t>
        </is>
      </c>
      <c r="D262" t="inlineStr">
        <is>
          <t>Drawdown State (NORMAL/WARNING/LOCKDOWN)</t>
        </is>
      </c>
    </row>
    <row r="263">
      <c r="A263" t="inlineStr">
        <is>
          <t>3# SELL_LIVE_PROFIT_GATED_V3_PATCHED.xlsx</t>
        </is>
      </c>
      <c r="B263" t="inlineStr">
        <is>
          <t>RISK_ENGINE</t>
        </is>
      </c>
      <c r="C263" t="inlineStr">
        <is>
          <t>A17</t>
        </is>
      </c>
      <c r="D263" t="inlineStr">
        <is>
          <t>Risk Scaling Factor</t>
        </is>
      </c>
    </row>
    <row r="264">
      <c r="A264" t="inlineStr">
        <is>
          <t>3# SELL_LIVE_PROFIT_GATED_V3_PATCHED.xlsx</t>
        </is>
      </c>
      <c r="B264" t="inlineStr">
        <is>
          <t>RISK_ENGINE</t>
        </is>
      </c>
      <c r="C264" t="inlineStr">
        <is>
          <t>A19</t>
        </is>
      </c>
      <c r="D264" t="inlineStr">
        <is>
          <t>Capital Survival Score (0–100)</t>
        </is>
      </c>
    </row>
    <row r="265">
      <c r="A265" t="inlineStr">
        <is>
          <t>3# SELL_LIVE_PROFIT_GATED_V3_PATCHED.xlsx</t>
        </is>
      </c>
      <c r="B265" t="inlineStr">
        <is>
          <t>RISK_ENGINE</t>
        </is>
      </c>
      <c r="C265" t="inlineStr">
        <is>
          <t>A21</t>
        </is>
      </c>
      <c r="D265" t="inlineStr">
        <is>
          <t>ZONE D — RISK PERMISSION OUTPUT (DECISION)</t>
        </is>
      </c>
    </row>
    <row r="266">
      <c r="A266" t="inlineStr">
        <is>
          <t>3# SELL_LIVE_PROFIT_GATED_V3_PATCHED.xlsx</t>
        </is>
      </c>
      <c r="B266" t="inlineStr">
        <is>
          <t>RISK_ENGINE</t>
        </is>
      </c>
      <c r="C266" t="inlineStr">
        <is>
          <t>A24</t>
        </is>
      </c>
      <c r="D266" t="inlineStr">
        <is>
          <t>Risk Block Reason</t>
        </is>
      </c>
    </row>
    <row r="267">
      <c r="A267" t="inlineStr">
        <is>
          <t>3# SELL_LIVE_PROFIT_GATED_V3_PATCHED.xlsx</t>
        </is>
      </c>
      <c r="B267" t="inlineStr">
        <is>
          <t>SIGNAL_OUTBOX</t>
        </is>
      </c>
      <c r="C267" t="inlineStr">
        <is>
          <t>F2</t>
        </is>
      </c>
      <c r="D267" t="inlineStr">
        <is>
          <t>SELL</t>
        </is>
      </c>
    </row>
    <row r="268">
      <c r="A268" t="inlineStr">
        <is>
          <t>3# SELL_LIVE_PROFIT_GATED_V3_PATCHED.xlsx</t>
        </is>
      </c>
      <c r="B268" t="inlineStr">
        <is>
          <t>SIGNAL_OUTBOX</t>
        </is>
      </c>
      <c r="C268" t="inlineStr">
        <is>
          <t>G2</t>
        </is>
      </c>
      <c r="D268">
        <f>SELL_PROFILE_FIXED!M2</f>
        <v/>
      </c>
    </row>
    <row r="269">
      <c r="A269" t="inlineStr">
        <is>
          <t>3# SELL_LIVE_PROFIT_GATED_V3_PATCHED.xlsx</t>
        </is>
      </c>
      <c r="B269" t="inlineStr">
        <is>
          <t>SIGNAL_OUTBOX</t>
        </is>
      </c>
      <c r="C269" t="inlineStr">
        <is>
          <t>H2</t>
        </is>
      </c>
      <c r="D269">
        <f>SELL_PROFILE_FIXED!N2</f>
        <v/>
      </c>
    </row>
    <row r="270">
      <c r="A270" t="inlineStr">
        <is>
          <t>3# SELL_LIVE_PROFIT_GATED_V3_PATCHED.xlsx</t>
        </is>
      </c>
      <c r="B270" t="inlineStr">
        <is>
          <t>SIGNAL_OUTBOX</t>
        </is>
      </c>
      <c r="C270" t="inlineStr">
        <is>
          <t>A4</t>
        </is>
      </c>
      <c r="D270" t="inlineStr">
        <is>
          <t>Verdict Confidence Level</t>
        </is>
      </c>
    </row>
    <row r="271">
      <c r="A271" t="inlineStr">
        <is>
          <t>3# SELL_LIVE_PROFIT_GATED_V3_PATCHED.xlsx</t>
        </is>
      </c>
      <c r="B271" t="inlineStr">
        <is>
          <t>SIGNAL_OUTBOX</t>
        </is>
      </c>
      <c r="C271" t="inlineStr">
        <is>
          <t>A10</t>
        </is>
      </c>
      <c r="D271" t="inlineStr">
        <is>
          <t>Confidence Check</t>
        </is>
      </c>
    </row>
    <row r="272">
      <c r="A272" t="inlineStr">
        <is>
          <t>3# SELL_LIVE_PROFIT_GATED_V3_PATCHED.xlsx</t>
        </is>
      </c>
      <c r="B272" t="inlineStr">
        <is>
          <t>JOURNAL</t>
        </is>
      </c>
      <c r="C272" t="inlineStr">
        <is>
          <t>C1</t>
        </is>
      </c>
      <c r="D272" t="inlineStr">
        <is>
          <t>Regime</t>
        </is>
      </c>
    </row>
    <row r="273">
      <c r="A273" t="inlineStr">
        <is>
          <t>3# SELL_LIVE_PROFIT_GATED_V3_PATCHED.xlsx</t>
        </is>
      </c>
      <c r="B273" t="inlineStr">
        <is>
          <t>PERMISSION_BUS</t>
        </is>
      </c>
      <c r="C273" t="inlineStr">
        <is>
          <t>A2</t>
        </is>
      </c>
      <c r="D273" t="inlineStr">
        <is>
          <t>Market Regime OK</t>
        </is>
      </c>
    </row>
    <row r="274">
      <c r="A274" t="inlineStr">
        <is>
          <t>3# SELL_LIVE_PROFIT_GATED_V3_PATCHED.xlsx</t>
        </is>
      </c>
      <c r="B274" t="inlineStr">
        <is>
          <t>PERMISSION_BUS</t>
        </is>
      </c>
      <c r="C274" t="inlineStr">
        <is>
          <t>A3</t>
        </is>
      </c>
      <c r="D274" t="inlineStr">
        <is>
          <t>Risk Engine OK</t>
        </is>
      </c>
    </row>
    <row r="275">
      <c r="A275" t="inlineStr">
        <is>
          <t>3# SELL_LIVE_PROFIT_GATED_V3_PATCHED.xlsx</t>
        </is>
      </c>
      <c r="B275" t="inlineStr">
        <is>
          <t>PERMISSION_BUS</t>
        </is>
      </c>
      <c r="C275" t="inlineStr">
        <is>
          <t>A14</t>
        </is>
      </c>
      <c r="D275" t="inlineStr">
        <is>
          <t>Verdict Confidence Level</t>
        </is>
      </c>
    </row>
    <row r="276">
      <c r="A276" t="inlineStr">
        <is>
          <t>3# SELL_LIVE_PROFIT_GATED_V3_PATCHED.xlsx</t>
        </is>
      </c>
      <c r="B276" t="inlineStr">
        <is>
          <t>SELL_PROFILE</t>
        </is>
      </c>
      <c r="C276" t="inlineStr">
        <is>
          <t>C1</t>
        </is>
      </c>
      <c r="D276" t="inlineStr">
        <is>
          <t>SELL_PROFILE</t>
        </is>
      </c>
    </row>
    <row r="277">
      <c r="A277" t="inlineStr">
        <is>
          <t>3# SELL_LIVE_PROFIT_GATED_V3_PATCHED.xlsx</t>
        </is>
      </c>
      <c r="B277" t="inlineStr">
        <is>
          <t>SELL_PROFILE</t>
        </is>
      </c>
      <c r="C277" t="inlineStr">
        <is>
          <t>A2</t>
        </is>
      </c>
      <c r="D277" t="inlineStr">
        <is>
          <t>CONFIDENCE_MIN</t>
        </is>
      </c>
    </row>
    <row r="278">
      <c r="A278" t="inlineStr">
        <is>
          <t>3# SELL_LIVE_PROFIT_GATED_V3_PATCHED.xlsx</t>
        </is>
      </c>
      <c r="B278" t="inlineStr">
        <is>
          <t>SELL_PROFILE</t>
        </is>
      </c>
      <c r="C278" t="inlineStr">
        <is>
          <t>D2</t>
        </is>
      </c>
      <c r="D278" t="inlineStr">
        <is>
          <t>SELL-ს ნაკლები სიზუსტე სჭირდება</t>
        </is>
      </c>
    </row>
    <row r="279">
      <c r="A279" t="inlineStr">
        <is>
          <t>3# SELL_LIVE_PROFIT_GATED_V3_PATCHED.xlsx</t>
        </is>
      </c>
      <c r="B279" t="inlineStr">
        <is>
          <t>SELL_PROFILE</t>
        </is>
      </c>
      <c r="C279" t="inlineStr">
        <is>
          <t>D3</t>
        </is>
      </c>
      <c r="D279" t="inlineStr">
        <is>
          <t>SELL უფრო გვიანაც დაიშვება</t>
        </is>
      </c>
    </row>
    <row r="280">
      <c r="A280" t="inlineStr">
        <is>
          <t>3# SELL_LIVE_PROFIT_GATED_V3_PATCHED.xlsx</t>
        </is>
      </c>
      <c r="B280" t="inlineStr">
        <is>
          <t>SELL_PROFILE</t>
        </is>
      </c>
      <c r="C280" t="inlineStr">
        <is>
          <t>D4</t>
        </is>
      </c>
      <c r="D280" t="inlineStr">
        <is>
          <t>SELL იღებს თხელ წიგნსაც</t>
        </is>
      </c>
    </row>
    <row r="281">
      <c r="A281" t="inlineStr">
        <is>
          <t>3# SELL_LIVE_PROFIT_GATED_V3_PATCHED.xlsx</t>
        </is>
      </c>
      <c r="B281" t="inlineStr">
        <is>
          <t>SELL_PROFILE</t>
        </is>
      </c>
      <c r="C281" t="inlineStr">
        <is>
          <t>A5</t>
        </is>
      </c>
      <c r="D281" t="inlineStr">
        <is>
          <t>RISK_STRICTNESS</t>
        </is>
      </c>
    </row>
    <row r="282">
      <c r="A282" t="inlineStr">
        <is>
          <t>3# SELL_LIVE_PROFIT_GATED_V3_PATCHED.xlsx</t>
        </is>
      </c>
      <c r="B282" t="inlineStr">
        <is>
          <t>SELL_PROFILE</t>
        </is>
      </c>
      <c r="C282" t="inlineStr">
        <is>
          <t>D5</t>
        </is>
      </c>
      <c r="D282" t="inlineStr">
        <is>
          <t>SELL = damage control</t>
        </is>
      </c>
    </row>
    <row r="283">
      <c r="A283" t="inlineStr">
        <is>
          <t>3# SELL_LIVE_PROFIT_GATED_V3_PATCHED.xlsx</t>
        </is>
      </c>
      <c r="B283" t="inlineStr">
        <is>
          <t>SELL_PROFILE</t>
        </is>
      </c>
      <c r="C283" t="inlineStr">
        <is>
          <t>D6</t>
        </is>
      </c>
      <c r="D283" t="inlineStr">
        <is>
          <t>SELL არ ეძებს პიკს</t>
        </is>
      </c>
    </row>
    <row r="284">
      <c r="A284" t="inlineStr">
        <is>
          <t>3# SELL_LIVE_PROFIT_GATED_V3_PATCHED.xlsx</t>
        </is>
      </c>
      <c r="B284" t="inlineStr">
        <is>
          <t>SELL_PROFILE</t>
        </is>
      </c>
      <c r="C284" t="inlineStr">
        <is>
          <t>A7</t>
        </is>
      </c>
      <c r="D284" t="inlineStr">
        <is>
          <t>URGENCY_WEIGHT</t>
        </is>
      </c>
    </row>
    <row r="285">
      <c r="A285" t="inlineStr">
        <is>
          <t>3# SELL_LIVE_PROFIT_GATED_V3_PATCHED.xlsx</t>
        </is>
      </c>
      <c r="B285" t="inlineStr">
        <is>
          <t>SELL_PROFILE</t>
        </is>
      </c>
      <c r="C285" t="inlineStr">
        <is>
          <t>D7</t>
        </is>
      </c>
      <c r="D285" t="inlineStr">
        <is>
          <t>SELL რეაგირებს სწრაფად</t>
        </is>
      </c>
    </row>
    <row r="286">
      <c r="A286" t="inlineStr">
        <is>
          <t>3# SELL_LIVE_PROFIT_GATED_V3_PATCHED.xlsx</t>
        </is>
      </c>
      <c r="B286" t="inlineStr">
        <is>
          <t>SELL_PROFILE_FIXED</t>
        </is>
      </c>
      <c r="C286" t="inlineStr">
        <is>
          <t>A1</t>
        </is>
      </c>
      <c r="D286" t="inlineStr">
        <is>
          <t>SELL_CONFIDENCE</t>
        </is>
      </c>
    </row>
    <row r="287">
      <c r="A287" t="inlineStr">
        <is>
          <t>3# SELL_LIVE_PROFIT_GATED_V3_PATCHED.xlsx</t>
        </is>
      </c>
      <c r="B287" t="inlineStr">
        <is>
          <t>SELL_PROFILE_FIXED</t>
        </is>
      </c>
      <c r="C287" t="inlineStr">
        <is>
          <t>B1</t>
        </is>
      </c>
      <c r="D287" t="inlineStr">
        <is>
          <t>SELL_CONFIDENCE_OK</t>
        </is>
      </c>
    </row>
    <row r="288">
      <c r="A288" t="inlineStr">
        <is>
          <t>3# SELL_LIVE_PROFIT_GATED_V3_PATCHED.xlsx</t>
        </is>
      </c>
      <c r="B288" t="inlineStr">
        <is>
          <t>SELL_PROFILE_FIXED</t>
        </is>
      </c>
      <c r="C288" t="inlineStr">
        <is>
          <t>D1</t>
        </is>
      </c>
      <c r="D288" t="inlineStr">
        <is>
          <t>SELL_RISK_STATE_OK</t>
        </is>
      </c>
    </row>
    <row r="289">
      <c r="A289" t="inlineStr">
        <is>
          <t>3# SELL_LIVE_PROFIT_GATED_V3_PATCHED.xlsx</t>
        </is>
      </c>
      <c r="B289" t="inlineStr">
        <is>
          <t>SELL_PROFILE_FIXED</t>
        </is>
      </c>
      <c r="C289" t="inlineStr">
        <is>
          <t>E1</t>
        </is>
      </c>
      <c r="D289" t="inlineStr">
        <is>
          <t>SELL_STREAK_OK</t>
        </is>
      </c>
    </row>
    <row r="290">
      <c r="A290" t="inlineStr">
        <is>
          <t>3# SELL_LIVE_PROFIT_GATED_V3_PATCHED.xlsx</t>
        </is>
      </c>
      <c r="B290" t="inlineStr">
        <is>
          <t>SELL_PROFILE_FIXED</t>
        </is>
      </c>
      <c r="C290" t="inlineStr">
        <is>
          <t>G1</t>
        </is>
      </c>
      <c r="D290" t="inlineStr">
        <is>
          <t>PARTIAL_SELL_PCT</t>
        </is>
      </c>
    </row>
    <row r="291">
      <c r="A291" t="inlineStr">
        <is>
          <t>3# SELL_LIVE_PROFIT_GATED_V3_PATCHED.xlsx</t>
        </is>
      </c>
      <c r="B291" t="inlineStr">
        <is>
          <t>SELL_PROFILE_FIXED</t>
        </is>
      </c>
      <c r="C291" t="inlineStr">
        <is>
          <t>H1</t>
        </is>
      </c>
      <c r="D291" t="inlineStr">
        <is>
          <t>SELL_ALLOWED</t>
        </is>
      </c>
    </row>
    <row r="292">
      <c r="A292" t="inlineStr">
        <is>
          <t>3# SELL_LIVE_PROFIT_GATED_V3_PATCHED.xlsx</t>
        </is>
      </c>
      <c r="B292" t="inlineStr">
        <is>
          <t>SELL_PROFILE_FIXED</t>
        </is>
      </c>
      <c r="C292" t="inlineStr">
        <is>
          <t>I1</t>
        </is>
      </c>
      <c r="D292" t="inlineStr">
        <is>
          <t>PRESELL_TRIGGER</t>
        </is>
      </c>
    </row>
    <row r="293">
      <c r="A293" t="inlineStr">
        <is>
          <t>3# SELL_LIVE_PROFIT_GATED_V3_PATCHED.xlsx</t>
        </is>
      </c>
      <c r="B293" t="inlineStr">
        <is>
          <t>SELL_PROFILE_FIXED</t>
        </is>
      </c>
      <c r="C293" t="inlineStr">
        <is>
          <t>J1</t>
        </is>
      </c>
      <c r="D293" t="inlineStr">
        <is>
          <t>PRESELL_PCT</t>
        </is>
      </c>
    </row>
    <row r="294">
      <c r="A294" t="inlineStr">
        <is>
          <t>3# SELL_LIVE_PROFIT_GATED_V3_PATCHED.xlsx</t>
        </is>
      </c>
      <c r="B294" t="inlineStr">
        <is>
          <t>SELL_PROFILE_FIXED</t>
        </is>
      </c>
      <c r="C294" t="inlineStr">
        <is>
          <t>L1</t>
        </is>
      </c>
      <c r="D294" t="inlineStr">
        <is>
          <t>EMERGENCY_SELL_PCT</t>
        </is>
      </c>
    </row>
    <row r="295">
      <c r="A295" t="inlineStr">
        <is>
          <t>3# SELL_LIVE_PROFIT_GATED_V3_PATCHED.xlsx</t>
        </is>
      </c>
      <c r="B295" t="inlineStr">
        <is>
          <t>SELL_PROFILE_FIXED</t>
        </is>
      </c>
      <c r="C295" t="inlineStr">
        <is>
          <t>M1</t>
        </is>
      </c>
      <c r="D295" t="inlineStr">
        <is>
          <t>SELL_ACTION</t>
        </is>
      </c>
    </row>
    <row r="296">
      <c r="A296" t="inlineStr">
        <is>
          <t>3# SELL_LIVE_PROFIT_GATED_V3_PATCHED.xlsx</t>
        </is>
      </c>
      <c r="B296" t="inlineStr">
        <is>
          <t>SELL_PROFILE_FIXED</t>
        </is>
      </c>
      <c r="C296" t="inlineStr">
        <is>
          <t>N1</t>
        </is>
      </c>
      <c r="D296" t="inlineStr">
        <is>
          <t>SELL_PCT_FINAL</t>
        </is>
      </c>
    </row>
    <row r="297">
      <c r="A297" t="inlineStr">
        <is>
          <t>3# SELL_LIVE_PROFIT_GATED_V3_PATCHED.xlsx</t>
        </is>
      </c>
      <c r="B297" t="inlineStr">
        <is>
          <t>SELL_PROFILE_FIXED</t>
        </is>
      </c>
      <c r="C297" t="inlineStr">
        <is>
          <t>P1</t>
        </is>
      </c>
      <c r="D297" t="inlineStr">
        <is>
          <t>SELL_FEE_PCT</t>
        </is>
      </c>
    </row>
    <row r="298">
      <c r="A298" t="inlineStr">
        <is>
          <t>3# SELL_LIVE_PROFIT_GATED_V3_PATCHED.xlsx</t>
        </is>
      </c>
      <c r="B298" t="inlineStr">
        <is>
          <t>SELL_PROFILE_FIXED</t>
        </is>
      </c>
      <c r="C298" t="inlineStr">
        <is>
          <t>U1</t>
        </is>
      </c>
      <c r="D298" t="inlineStr">
        <is>
          <t>SELL_ALLOWED_FINAL</t>
        </is>
      </c>
    </row>
    <row r="299">
      <c r="A299" t="inlineStr">
        <is>
          <t>3# SELL_LIVE_PROFIT_GATED_V3_PATCHED.xlsx</t>
        </is>
      </c>
      <c r="B299" t="inlineStr">
        <is>
          <t>SELL_PROFILE_FIXED</t>
        </is>
      </c>
      <c r="C299" t="inlineStr">
        <is>
          <t>A2</t>
        </is>
      </c>
      <c r="D299">
        <f>SELL_PROFILE!B2</f>
        <v/>
      </c>
    </row>
    <row r="300">
      <c r="A300" t="inlineStr">
        <is>
          <t>3# SELL_LIVE_PROFIT_GATED_V3_PATCHED.xlsx</t>
        </is>
      </c>
      <c r="B300" t="inlineStr">
        <is>
          <t>SELL_PROFILE_FIXED</t>
        </is>
      </c>
      <c r="C300" t="inlineStr">
        <is>
          <t>D2</t>
        </is>
      </c>
      <c r="D300">
        <f>RISK_ENGINE!B2="OK"</f>
        <v/>
      </c>
    </row>
    <row r="301">
      <c r="A301" t="inlineStr">
        <is>
          <t>3# SELL_LIVE_PROFIT_GATED_V3_PATCHED.xlsx</t>
        </is>
      </c>
      <c r="B301" t="inlineStr">
        <is>
          <t>SELL_PROFILE_FIXED</t>
        </is>
      </c>
      <c r="C301" t="inlineStr">
        <is>
          <t>G2</t>
        </is>
      </c>
      <c r="D301">
        <f>IF(AND(SELL_CONFIDENCE&gt;=0.75,STRUCTURE_OK=TRUE),0.2,IF(SELL_CONFIDENCE&gt;=0.62,0.3,0.4))</f>
        <v/>
      </c>
    </row>
    <row r="302">
      <c r="A302" t="inlineStr">
        <is>
          <t>3# SELL_LIVE_PROFIT_GATED_V3_PATCHED.xlsx</t>
        </is>
      </c>
      <c r="B302" t="inlineStr">
        <is>
          <t>SELL_PROFILE_FIXED</t>
        </is>
      </c>
      <c r="C302" t="inlineStr">
        <is>
          <t>K2</t>
        </is>
      </c>
      <c r="D302">
        <f>AND(RISK_ENGINE!B2="ALERT",MARKET!B2="VOL_SPIKE")</f>
        <v/>
      </c>
    </row>
    <row r="303">
      <c r="A303" t="inlineStr">
        <is>
          <t>3# SELL_LIVE_PROFIT_GATED_V3_PATCHED.xlsx</t>
        </is>
      </c>
      <c r="B303" t="inlineStr">
        <is>
          <t>SELL_PROFILE_FIXED</t>
        </is>
      </c>
      <c r="C303" t="inlineStr">
        <is>
          <t>U2</t>
        </is>
      </c>
      <c r="D303">
        <f>AND(SELL_ALLOWED,PROFIT_OK)</f>
        <v/>
      </c>
    </row>
    <row r="304">
      <c r="A304" t="inlineStr">
        <is>
          <t>3# SELL_LIVE_PROFIT_GATED_V3_PATCHED.xlsx</t>
        </is>
      </c>
      <c r="B304" t="inlineStr">
        <is>
          <t>SELL_PARTIAL_RUNNER</t>
        </is>
      </c>
      <c r="C304" t="inlineStr">
        <is>
          <t>A7</t>
        </is>
      </c>
      <c r="D304" t="inlineStr">
        <is>
          <t>PARTIAL_SELL_ALLOWED</t>
        </is>
      </c>
    </row>
    <row r="305">
      <c r="A305" t="inlineStr">
        <is>
          <t>3# SELL_LIVE_PROFIT_GATED_V3_PATCHED.xlsx</t>
        </is>
      </c>
      <c r="B305" t="inlineStr">
        <is>
          <t>SELL_PARTIAL_RUNNER</t>
        </is>
      </c>
      <c r="C305" t="inlineStr">
        <is>
          <t>A8</t>
        </is>
      </c>
      <c r="D305" t="inlineStr">
        <is>
          <t>RUNNER_SELL_ALLOWED</t>
        </is>
      </c>
    </row>
    <row r="306">
      <c r="A306" t="inlineStr">
        <is>
          <t>3# SELL_LIVE_PROFIT_GATED_V3_PATCHED.xlsx</t>
        </is>
      </c>
      <c r="B306" t="inlineStr">
        <is>
          <t>SELL_PARTIAL_RUNNER</t>
        </is>
      </c>
      <c r="C306" t="inlineStr">
        <is>
          <t>B8</t>
        </is>
      </c>
      <c r="D306">
        <f>SELL_ALLOWED_FINAL</f>
        <v/>
      </c>
    </row>
    <row r="307">
      <c r="A307" t="inlineStr">
        <is>
          <t>3# SELL_LIVE_PROFIT_GATED_V3_PATCHED.xlsx</t>
        </is>
      </c>
      <c r="B307" t="inlineStr">
        <is>
          <t>SELL_CONFIDENCE_LAYER</t>
        </is>
      </c>
      <c r="C307" t="inlineStr">
        <is>
          <t>A5</t>
        </is>
      </c>
      <c r="D307" t="inlineStr">
        <is>
          <t>SELL_CONFIDENCE_OK</t>
        </is>
      </c>
    </row>
    <row r="308">
      <c r="A308" t="inlineStr">
        <is>
          <t>3# SELL_LIVE_PROFIT_GATED_V3_PATCHED.xlsx</t>
        </is>
      </c>
      <c r="B308" t="inlineStr">
        <is>
          <t>SELL_FINAL_WRAPPER</t>
        </is>
      </c>
      <c r="C308" t="inlineStr">
        <is>
          <t>A1</t>
        </is>
      </c>
      <c r="D308" t="inlineStr">
        <is>
          <t>SELL_ALLOWED_DEEP</t>
        </is>
      </c>
    </row>
    <row r="309">
      <c r="A309" t="inlineStr">
        <is>
          <t>3# SELL_LIVE_PROFIT_GATED_V3_PATCHED.xlsx</t>
        </is>
      </c>
      <c r="B309" t="inlineStr">
        <is>
          <t>SELL_FINAL_WRAPPER</t>
        </is>
      </c>
      <c r="C309" t="inlineStr">
        <is>
          <t>B1</t>
        </is>
      </c>
      <c r="D309">
        <f>AND(SELL_ALLOWED_FINAL,SELL_CONFIDENCE_OK,TIME_FLOOR_OK)</f>
        <v/>
      </c>
    </row>
    <row r="310">
      <c r="A310" t="inlineStr">
        <is>
          <t>3# SELL_LIVE_PROFIT_GATED_V3_PATCHED.xlsx</t>
        </is>
      </c>
      <c r="B310" t="inlineStr">
        <is>
          <t>SELL_FINAL_WRAPPER</t>
        </is>
      </c>
      <c r="C310" t="inlineStr">
        <is>
          <t>B3</t>
        </is>
      </c>
      <c r="D310" t="inlineStr">
        <is>
          <t>Deep pass – high confidence exit only</t>
        </is>
      </c>
    </row>
    <row r="311">
      <c r="A311" t="inlineStr">
        <is>
          <t>2# SELL_LIVE_PROFIT_GATED_V3_DEEP_PASS.xlsx</t>
        </is>
      </c>
      <c r="B311" t="inlineStr">
        <is>
          <t>README</t>
        </is>
      </c>
      <c r="C311" t="inlineStr">
        <is>
          <t>B2</t>
        </is>
      </c>
      <c r="D311" t="inlineStr">
        <is>
          <t>DYZEN CAPITAL OS</t>
        </is>
      </c>
    </row>
    <row r="312">
      <c r="A312" t="inlineStr">
        <is>
          <t>2# SELL_LIVE_PROFIT_GATED_V3_DEEP_PASS.xlsx</t>
        </is>
      </c>
      <c r="B312" t="inlineStr">
        <is>
          <t>README</t>
        </is>
      </c>
      <c r="C312" t="inlineStr">
        <is>
          <t>B4</t>
        </is>
      </c>
      <c r="D312" t="inlineStr">
        <is>
          <t>Private Decision Engine for Capital, Risk &amp; Trading Intelligence</t>
        </is>
      </c>
    </row>
    <row r="313">
      <c r="A313" t="inlineStr">
        <is>
          <t>2# SELL_LIVE_PROFIT_GATED_V3_DEEP_PASS.xlsx</t>
        </is>
      </c>
      <c r="B313" t="inlineStr">
        <is>
          <t>README</t>
        </is>
      </c>
      <c r="C313" t="inlineStr">
        <is>
          <t>B7</t>
        </is>
      </c>
      <c r="D31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14">
      <c r="A314" t="inlineStr">
        <is>
          <t>2# SELL_LIVE_PROFIT_GATED_V3_DEEP_PASS.xlsx</t>
        </is>
      </c>
      <c r="B314" t="inlineStr">
        <is>
          <t>INPUTS</t>
        </is>
      </c>
      <c r="C314" t="inlineStr">
        <is>
          <t>A1</t>
        </is>
      </c>
      <c r="D314" t="inlineStr">
        <is>
          <t>Capital</t>
        </is>
      </c>
    </row>
    <row r="315">
      <c r="A315" t="inlineStr">
        <is>
          <t>2# SELL_LIVE_PROFIT_GATED_V3_DEEP_PASS.xlsx</t>
        </is>
      </c>
      <c r="B315" t="inlineStr">
        <is>
          <t>INPUTS</t>
        </is>
      </c>
      <c r="C315" t="inlineStr">
        <is>
          <t>B1</t>
        </is>
      </c>
      <c r="D315" t="inlineStr">
        <is>
          <t>Risk Appetite</t>
        </is>
      </c>
    </row>
    <row r="316">
      <c r="A316" t="inlineStr">
        <is>
          <t>2# SELL_LIVE_PROFIT_GATED_V3_DEEP_PASS.xlsx</t>
        </is>
      </c>
      <c r="B316" t="inlineStr">
        <is>
          <t>MARKET</t>
        </is>
      </c>
      <c r="C316" t="inlineStr">
        <is>
          <t>C1</t>
        </is>
      </c>
      <c r="D316" t="inlineStr">
        <is>
          <t>Regime Score</t>
        </is>
      </c>
    </row>
    <row r="317">
      <c r="A317" t="inlineStr">
        <is>
          <t>2# SELL_LIVE_PROFIT_GATED_V3_DEEP_PASS.xlsx</t>
        </is>
      </c>
      <c r="B317" t="inlineStr">
        <is>
          <t>MARKET</t>
        </is>
      </c>
      <c r="C317" t="inlineStr">
        <is>
          <t>D1</t>
        </is>
      </c>
      <c r="D317" t="inlineStr">
        <is>
          <t>Regime OK</t>
        </is>
      </c>
    </row>
    <row r="318">
      <c r="A318" t="inlineStr">
        <is>
          <t>2# SELL_LIVE_PROFIT_GATED_V3_DEEP_PASS.xlsx</t>
        </is>
      </c>
      <c r="B318" t="inlineStr">
        <is>
          <t>SETUP</t>
        </is>
      </c>
      <c r="C318" t="inlineStr">
        <is>
          <t>A6</t>
        </is>
      </c>
      <c r="D318" t="inlineStr">
        <is>
          <t>Risk : Reward Ratio</t>
        </is>
      </c>
    </row>
    <row r="319">
      <c r="A319" t="inlineStr">
        <is>
          <t>2# SELL_LIVE_PROFIT_GATED_V3_DEEP_PASS.xlsx</t>
        </is>
      </c>
      <c r="B319" t="inlineStr">
        <is>
          <t>SETUP</t>
        </is>
      </c>
      <c r="C319" t="inlineStr">
        <is>
          <t>A17</t>
        </is>
      </c>
      <c r="D319" t="inlineStr">
        <is>
          <t>Late Entry Risk</t>
        </is>
      </c>
    </row>
    <row r="320">
      <c r="A320" t="inlineStr">
        <is>
          <t>2# SELL_LIVE_PROFIT_GATED_V3_DEEP_PASS.xlsx</t>
        </is>
      </c>
      <c r="B320" t="inlineStr">
        <is>
          <t>PSYCHO</t>
        </is>
      </c>
      <c r="C320" t="inlineStr">
        <is>
          <t>A2</t>
        </is>
      </c>
      <c r="D320" t="inlineStr">
        <is>
          <t>Confidence Level (0–10)</t>
        </is>
      </c>
    </row>
    <row r="321">
      <c r="A321" t="inlineStr">
        <is>
          <t>2# SELL_LIVE_PROFIT_GATED_V3_DEEP_PASS.xlsx</t>
        </is>
      </c>
      <c r="B321" t="inlineStr">
        <is>
          <t>PSYCHO</t>
        </is>
      </c>
      <c r="C321" t="inlineStr">
        <is>
          <t>A9</t>
        </is>
      </c>
      <c r="D321" t="inlineStr">
        <is>
          <t>Overconfidence Risk (LOW/MED/HIGH)</t>
        </is>
      </c>
    </row>
    <row r="322">
      <c r="A322" t="inlineStr">
        <is>
          <t>2# SELL_LIVE_PROFIT_GATED_V3_DEEP_PASS.xlsx</t>
        </is>
      </c>
      <c r="B322" t="inlineStr">
        <is>
          <t>PSYCHO</t>
        </is>
      </c>
      <c r="C322" t="inlineStr">
        <is>
          <t>A11</t>
        </is>
      </c>
      <c r="D322" t="inlineStr">
        <is>
          <t>Revenge Trading Risk (YES/NO)</t>
        </is>
      </c>
    </row>
    <row r="323">
      <c r="A323" t="inlineStr">
        <is>
          <t>2# SELL_LIVE_PROFIT_GATED_V3_DEEP_PASS.xlsx</t>
        </is>
      </c>
      <c r="B323" t="inlineStr">
        <is>
          <t>PSYCHO</t>
        </is>
      </c>
      <c r="C323" t="inlineStr">
        <is>
          <t>A16</t>
        </is>
      </c>
      <c r="D323" t="inlineStr">
        <is>
          <t>Psychology Risk Flag</t>
        </is>
      </c>
    </row>
    <row r="324">
      <c r="A324" t="inlineStr">
        <is>
          <t>2# SELL_LIVE_PROFIT_GATED_V3_DEEP_PASS.xlsx</t>
        </is>
      </c>
      <c r="B324" t="inlineStr">
        <is>
          <t>PSYCHO</t>
        </is>
      </c>
      <c r="C324" t="inlineStr">
        <is>
          <t>A17</t>
        </is>
      </c>
      <c r="D324" t="inlineStr">
        <is>
          <t>Stability Threshold</t>
        </is>
      </c>
    </row>
    <row r="325">
      <c r="A325" t="inlineStr">
        <is>
          <t>2# SELL_LIVE_PROFIT_GATED_V3_DEEP_PASS.xlsx</t>
        </is>
      </c>
      <c r="B325" t="inlineStr">
        <is>
          <t>RISK_ENGINE</t>
        </is>
      </c>
      <c r="C325" t="inlineStr">
        <is>
          <t>A1</t>
        </is>
      </c>
      <c r="D325" t="inlineStr">
        <is>
          <t>ZONE A — CAPITAL INPUTS (INPUT)</t>
        </is>
      </c>
    </row>
    <row r="326">
      <c r="A326" t="inlineStr">
        <is>
          <t>2# SELL_LIVE_PROFIT_GATED_V3_DEEP_PASS.xlsx</t>
        </is>
      </c>
      <c r="B326" t="inlineStr">
        <is>
          <t>RISK_ENGINE</t>
        </is>
      </c>
      <c r="C326" t="inlineStr">
        <is>
          <t>A3</t>
        </is>
      </c>
      <c r="D326" t="inlineStr">
        <is>
          <t>Base Risk %</t>
        </is>
      </c>
    </row>
    <row r="327">
      <c r="A327" t="inlineStr">
        <is>
          <t>2# SELL_LIVE_PROFIT_GATED_V3_DEEP_PASS.xlsx</t>
        </is>
      </c>
      <c r="B327" t="inlineStr">
        <is>
          <t>RISK_ENGINE</t>
        </is>
      </c>
      <c r="C327" t="inlineStr">
        <is>
          <t>A4</t>
        </is>
      </c>
      <c r="D327" t="inlineStr">
        <is>
          <t>Max Risk % per Day</t>
        </is>
      </c>
    </row>
    <row r="328">
      <c r="A328" t="inlineStr">
        <is>
          <t>2# SELL_LIVE_PROFIT_GATED_V3_DEEP_PASS.xlsx</t>
        </is>
      </c>
      <c r="B328" t="inlineStr">
        <is>
          <t>RISK_ENGINE</t>
        </is>
      </c>
      <c r="C328" t="inlineStr">
        <is>
          <t>A5</t>
        </is>
      </c>
      <c r="D328" t="inlineStr">
        <is>
          <t>Max Risk % per Week</t>
        </is>
      </c>
    </row>
    <row r="329">
      <c r="A329" t="inlineStr">
        <is>
          <t>2# SELL_LIVE_PROFIT_GATED_V3_DEEP_PASS.xlsx</t>
        </is>
      </c>
      <c r="B329" t="inlineStr">
        <is>
          <t>RISK_ENGINE</t>
        </is>
      </c>
      <c r="C329" t="inlineStr">
        <is>
          <t>A6</t>
        </is>
      </c>
      <c r="D329" t="inlineStr">
        <is>
          <t>Risk Appetite (LOW/MED/HIGH)</t>
        </is>
      </c>
    </row>
    <row r="330">
      <c r="A330" t="inlineStr">
        <is>
          <t>2# SELL_LIVE_PROFIT_GATED_V3_DEEP_PASS.xlsx</t>
        </is>
      </c>
      <c r="B330" t="inlineStr">
        <is>
          <t>RISK_ENGINE</t>
        </is>
      </c>
      <c r="C330" t="inlineStr">
        <is>
          <t>A8</t>
        </is>
      </c>
      <c r="D330" t="inlineStr">
        <is>
          <t>ZONE B — PERFORMANCE &amp; DRAWDOWN STATES (DERIVED)</t>
        </is>
      </c>
    </row>
    <row r="331">
      <c r="A331" t="inlineStr">
        <is>
          <t>2# SELL_LIVE_PROFIT_GATED_V3_DEEP_PASS.xlsx</t>
        </is>
      </c>
      <c r="B331" t="inlineStr">
        <is>
          <t>RISK_ENGINE</t>
        </is>
      </c>
      <c r="C331" t="inlineStr">
        <is>
          <t>A11</t>
        </is>
      </c>
      <c r="D331" t="inlineStr">
        <is>
          <t>Peak-to-Trough Drawdown %</t>
        </is>
      </c>
    </row>
    <row r="332">
      <c r="A332" t="inlineStr">
        <is>
          <t>2# SELL_LIVE_PROFIT_GATED_V3_DEEP_PASS.xlsx</t>
        </is>
      </c>
      <c r="B332" t="inlineStr">
        <is>
          <t>RISK_ENGINE</t>
        </is>
      </c>
      <c r="C332" t="inlineStr">
        <is>
          <t>A15</t>
        </is>
      </c>
      <c r="D332" t="inlineStr">
        <is>
          <t>ZONE C — RISK GOVERNORS (LOGIC)</t>
        </is>
      </c>
    </row>
    <row r="333">
      <c r="A333" t="inlineStr">
        <is>
          <t>2# SELL_LIVE_PROFIT_GATED_V3_DEEP_PASS.xlsx</t>
        </is>
      </c>
      <c r="B333" t="inlineStr">
        <is>
          <t>RISK_ENGINE</t>
        </is>
      </c>
      <c r="C333" t="inlineStr">
        <is>
          <t>A16</t>
        </is>
      </c>
      <c r="D333" t="inlineStr">
        <is>
          <t>Drawdown State (NORMAL/WARNING/LOCKDOWN)</t>
        </is>
      </c>
    </row>
    <row r="334">
      <c r="A334" t="inlineStr">
        <is>
          <t>2# SELL_LIVE_PROFIT_GATED_V3_DEEP_PASS.xlsx</t>
        </is>
      </c>
      <c r="B334" t="inlineStr">
        <is>
          <t>RISK_ENGINE</t>
        </is>
      </c>
      <c r="C334" t="inlineStr">
        <is>
          <t>A17</t>
        </is>
      </c>
      <c r="D334" t="inlineStr">
        <is>
          <t>Risk Scaling Factor</t>
        </is>
      </c>
    </row>
    <row r="335">
      <c r="A335" t="inlineStr">
        <is>
          <t>2# SELL_LIVE_PROFIT_GATED_V3_DEEP_PASS.xlsx</t>
        </is>
      </c>
      <c r="B335" t="inlineStr">
        <is>
          <t>RISK_ENGINE</t>
        </is>
      </c>
      <c r="C335" t="inlineStr">
        <is>
          <t>A19</t>
        </is>
      </c>
      <c r="D335" t="inlineStr">
        <is>
          <t>Capital Survival Score (0–100)</t>
        </is>
      </c>
    </row>
    <row r="336">
      <c r="A336" t="inlineStr">
        <is>
          <t>2# SELL_LIVE_PROFIT_GATED_V3_DEEP_PASS.xlsx</t>
        </is>
      </c>
      <c r="B336" t="inlineStr">
        <is>
          <t>RISK_ENGINE</t>
        </is>
      </c>
      <c r="C336" t="inlineStr">
        <is>
          <t>A21</t>
        </is>
      </c>
      <c r="D336" t="inlineStr">
        <is>
          <t>ZONE D — RISK PERMISSION OUTPUT (DECISION)</t>
        </is>
      </c>
    </row>
    <row r="337">
      <c r="A337" t="inlineStr">
        <is>
          <t>2# SELL_LIVE_PROFIT_GATED_V3_DEEP_PASS.xlsx</t>
        </is>
      </c>
      <c r="B337" t="inlineStr">
        <is>
          <t>RISK_ENGINE</t>
        </is>
      </c>
      <c r="C337" t="inlineStr">
        <is>
          <t>A24</t>
        </is>
      </c>
      <c r="D337" t="inlineStr">
        <is>
          <t>Risk Block Reason</t>
        </is>
      </c>
    </row>
    <row r="338">
      <c r="A338" t="inlineStr">
        <is>
          <t>2# SELL_LIVE_PROFIT_GATED_V3_DEEP_PASS.xlsx</t>
        </is>
      </c>
      <c r="B338" t="inlineStr">
        <is>
          <t>SIGNAL_OUTBOX</t>
        </is>
      </c>
      <c r="C338" t="inlineStr">
        <is>
          <t>F2</t>
        </is>
      </c>
      <c r="D338" t="inlineStr">
        <is>
          <t>SELL</t>
        </is>
      </c>
    </row>
    <row r="339">
      <c r="A339" t="inlineStr">
        <is>
          <t>2# SELL_LIVE_PROFIT_GATED_V3_DEEP_PASS.xlsx</t>
        </is>
      </c>
      <c r="B339" t="inlineStr">
        <is>
          <t>SIGNAL_OUTBOX</t>
        </is>
      </c>
      <c r="C339" t="inlineStr">
        <is>
          <t>G2</t>
        </is>
      </c>
      <c r="D339">
        <f>SELL_PROFILE_FIXED!M2</f>
        <v/>
      </c>
    </row>
    <row r="340">
      <c r="A340" t="inlineStr">
        <is>
          <t>2# SELL_LIVE_PROFIT_GATED_V3_DEEP_PASS.xlsx</t>
        </is>
      </c>
      <c r="B340" t="inlineStr">
        <is>
          <t>SIGNAL_OUTBOX</t>
        </is>
      </c>
      <c r="C340" t="inlineStr">
        <is>
          <t>H2</t>
        </is>
      </c>
      <c r="D340">
        <f>SELL_PROFILE_FIXED!N2</f>
        <v/>
      </c>
    </row>
    <row r="341">
      <c r="A341" t="inlineStr">
        <is>
          <t>2# SELL_LIVE_PROFIT_GATED_V3_DEEP_PASS.xlsx</t>
        </is>
      </c>
      <c r="B341" t="inlineStr">
        <is>
          <t>SIGNAL_OUTBOX</t>
        </is>
      </c>
      <c r="C341" t="inlineStr">
        <is>
          <t>A4</t>
        </is>
      </c>
      <c r="D341" t="inlineStr">
        <is>
          <t>Verdict Confidence Level</t>
        </is>
      </c>
    </row>
    <row r="342">
      <c r="A342" t="inlineStr">
        <is>
          <t>2# SELL_LIVE_PROFIT_GATED_V3_DEEP_PASS.xlsx</t>
        </is>
      </c>
      <c r="B342" t="inlineStr">
        <is>
          <t>SIGNAL_OUTBOX</t>
        </is>
      </c>
      <c r="C342" t="inlineStr">
        <is>
          <t>A10</t>
        </is>
      </c>
      <c r="D342" t="inlineStr">
        <is>
          <t>Confidence Check</t>
        </is>
      </c>
    </row>
    <row r="343">
      <c r="A343" t="inlineStr">
        <is>
          <t>2# SELL_LIVE_PROFIT_GATED_V3_DEEP_PASS.xlsx</t>
        </is>
      </c>
      <c r="B343" t="inlineStr">
        <is>
          <t>JOURNAL</t>
        </is>
      </c>
      <c r="C343" t="inlineStr">
        <is>
          <t>C1</t>
        </is>
      </c>
      <c r="D343" t="inlineStr">
        <is>
          <t>Regime</t>
        </is>
      </c>
    </row>
    <row r="344">
      <c r="A344" t="inlineStr">
        <is>
          <t>2# SELL_LIVE_PROFIT_GATED_V3_DEEP_PASS.xlsx</t>
        </is>
      </c>
      <c r="B344" t="inlineStr">
        <is>
          <t>PERMISSION_BUS</t>
        </is>
      </c>
      <c r="C344" t="inlineStr">
        <is>
          <t>A2</t>
        </is>
      </c>
      <c r="D344" t="inlineStr">
        <is>
          <t>Market Regime OK</t>
        </is>
      </c>
    </row>
    <row r="345">
      <c r="A345" t="inlineStr">
        <is>
          <t>2# SELL_LIVE_PROFIT_GATED_V3_DEEP_PASS.xlsx</t>
        </is>
      </c>
      <c r="B345" t="inlineStr">
        <is>
          <t>PERMISSION_BUS</t>
        </is>
      </c>
      <c r="C345" t="inlineStr">
        <is>
          <t>A3</t>
        </is>
      </c>
      <c r="D345" t="inlineStr">
        <is>
          <t>Risk Engine OK</t>
        </is>
      </c>
    </row>
    <row r="346">
      <c r="A346" t="inlineStr">
        <is>
          <t>2# SELL_LIVE_PROFIT_GATED_V3_DEEP_PASS.xlsx</t>
        </is>
      </c>
      <c r="B346" t="inlineStr">
        <is>
          <t>PERMISSION_BUS</t>
        </is>
      </c>
      <c r="C346" t="inlineStr">
        <is>
          <t>A14</t>
        </is>
      </c>
      <c r="D346" t="inlineStr">
        <is>
          <t>Verdict Confidence Level</t>
        </is>
      </c>
    </row>
    <row r="347">
      <c r="A347" t="inlineStr">
        <is>
          <t>2# SELL_LIVE_PROFIT_GATED_V3_DEEP_PASS.xlsx</t>
        </is>
      </c>
      <c r="B347" t="inlineStr">
        <is>
          <t>SELL_PROFILE</t>
        </is>
      </c>
      <c r="C347" t="inlineStr">
        <is>
          <t>C1</t>
        </is>
      </c>
      <c r="D347" t="inlineStr">
        <is>
          <t>SELL_PROFILE</t>
        </is>
      </c>
    </row>
    <row r="348">
      <c r="A348" t="inlineStr">
        <is>
          <t>2# SELL_LIVE_PROFIT_GATED_V3_DEEP_PASS.xlsx</t>
        </is>
      </c>
      <c r="B348" t="inlineStr">
        <is>
          <t>SELL_PROFILE</t>
        </is>
      </c>
      <c r="C348" t="inlineStr">
        <is>
          <t>A2</t>
        </is>
      </c>
      <c r="D348" t="inlineStr">
        <is>
          <t>CONFIDENCE_MIN</t>
        </is>
      </c>
    </row>
    <row r="349">
      <c r="A349" t="inlineStr">
        <is>
          <t>2# SELL_LIVE_PROFIT_GATED_V3_DEEP_PASS.xlsx</t>
        </is>
      </c>
      <c r="B349" t="inlineStr">
        <is>
          <t>SELL_PROFILE</t>
        </is>
      </c>
      <c r="C349" t="inlineStr">
        <is>
          <t>D2</t>
        </is>
      </c>
      <c r="D349" t="inlineStr">
        <is>
          <t>SELL-ს ნაკლები სიზუსტე სჭირდება</t>
        </is>
      </c>
    </row>
    <row r="350">
      <c r="A350" t="inlineStr">
        <is>
          <t>2# SELL_LIVE_PROFIT_GATED_V3_DEEP_PASS.xlsx</t>
        </is>
      </c>
      <c r="B350" t="inlineStr">
        <is>
          <t>SELL_PROFILE</t>
        </is>
      </c>
      <c r="C350" t="inlineStr">
        <is>
          <t>D3</t>
        </is>
      </c>
      <c r="D350" t="inlineStr">
        <is>
          <t>SELL უფრო გვიანაც დაიშვება</t>
        </is>
      </c>
    </row>
    <row r="351">
      <c r="A351" t="inlineStr">
        <is>
          <t>2# SELL_LIVE_PROFIT_GATED_V3_DEEP_PASS.xlsx</t>
        </is>
      </c>
      <c r="B351" t="inlineStr">
        <is>
          <t>SELL_PROFILE</t>
        </is>
      </c>
      <c r="C351" t="inlineStr">
        <is>
          <t>D4</t>
        </is>
      </c>
      <c r="D351" t="inlineStr">
        <is>
          <t>SELL იღებს თხელ წიგნსაც</t>
        </is>
      </c>
    </row>
    <row r="352">
      <c r="A352" t="inlineStr">
        <is>
          <t>2# SELL_LIVE_PROFIT_GATED_V3_DEEP_PASS.xlsx</t>
        </is>
      </c>
      <c r="B352" t="inlineStr">
        <is>
          <t>SELL_PROFILE</t>
        </is>
      </c>
      <c r="C352" t="inlineStr">
        <is>
          <t>A5</t>
        </is>
      </c>
      <c r="D352" t="inlineStr">
        <is>
          <t>RISK_STRICTNESS</t>
        </is>
      </c>
    </row>
    <row r="353">
      <c r="A353" t="inlineStr">
        <is>
          <t>2# SELL_LIVE_PROFIT_GATED_V3_DEEP_PASS.xlsx</t>
        </is>
      </c>
      <c r="B353" t="inlineStr">
        <is>
          <t>SELL_PROFILE</t>
        </is>
      </c>
      <c r="C353" t="inlineStr">
        <is>
          <t>D5</t>
        </is>
      </c>
      <c r="D353" t="inlineStr">
        <is>
          <t>SELL = damage control</t>
        </is>
      </c>
    </row>
    <row r="354">
      <c r="A354" t="inlineStr">
        <is>
          <t>2# SELL_LIVE_PROFIT_GATED_V3_DEEP_PASS.xlsx</t>
        </is>
      </c>
      <c r="B354" t="inlineStr">
        <is>
          <t>SELL_PROFILE</t>
        </is>
      </c>
      <c r="C354" t="inlineStr">
        <is>
          <t>D6</t>
        </is>
      </c>
      <c r="D354" t="inlineStr">
        <is>
          <t>SELL არ ეძებს პიკს</t>
        </is>
      </c>
    </row>
    <row r="355">
      <c r="A355" t="inlineStr">
        <is>
          <t>2# SELL_LIVE_PROFIT_GATED_V3_DEEP_PASS.xlsx</t>
        </is>
      </c>
      <c r="B355" t="inlineStr">
        <is>
          <t>SELL_PROFILE</t>
        </is>
      </c>
      <c r="C355" t="inlineStr">
        <is>
          <t>A7</t>
        </is>
      </c>
      <c r="D355" t="inlineStr">
        <is>
          <t>URGENCY_WEIGHT</t>
        </is>
      </c>
    </row>
    <row r="356">
      <c r="A356" t="inlineStr">
        <is>
          <t>2# SELL_LIVE_PROFIT_GATED_V3_DEEP_PASS.xlsx</t>
        </is>
      </c>
      <c r="B356" t="inlineStr">
        <is>
          <t>SELL_PROFILE</t>
        </is>
      </c>
      <c r="C356" t="inlineStr">
        <is>
          <t>D7</t>
        </is>
      </c>
      <c r="D356" t="inlineStr">
        <is>
          <t>SELL რეაგირებს სწრაფად</t>
        </is>
      </c>
    </row>
    <row r="357">
      <c r="A357" t="inlineStr">
        <is>
          <t>2# SELL_LIVE_PROFIT_GATED_V3_DEEP_PASS.xlsx</t>
        </is>
      </c>
      <c r="B357" t="inlineStr">
        <is>
          <t>SELL_PROFILE_FIXED</t>
        </is>
      </c>
      <c r="C357" t="inlineStr">
        <is>
          <t>A1</t>
        </is>
      </c>
      <c r="D357" t="inlineStr">
        <is>
          <t>SELL_CONFIDENCE</t>
        </is>
      </c>
    </row>
    <row r="358">
      <c r="A358" t="inlineStr">
        <is>
          <t>2# SELL_LIVE_PROFIT_GATED_V3_DEEP_PASS.xlsx</t>
        </is>
      </c>
      <c r="B358" t="inlineStr">
        <is>
          <t>SELL_PROFILE_FIXED</t>
        </is>
      </c>
      <c r="C358" t="inlineStr">
        <is>
          <t>B1</t>
        </is>
      </c>
      <c r="D358" t="inlineStr">
        <is>
          <t>SELL_CONFIDENCE_OK</t>
        </is>
      </c>
    </row>
    <row r="359">
      <c r="A359" t="inlineStr">
        <is>
          <t>2# SELL_LIVE_PROFIT_GATED_V3_DEEP_PASS.xlsx</t>
        </is>
      </c>
      <c r="B359" t="inlineStr">
        <is>
          <t>SELL_PROFILE_FIXED</t>
        </is>
      </c>
      <c r="C359" t="inlineStr">
        <is>
          <t>D1</t>
        </is>
      </c>
      <c r="D359" t="inlineStr">
        <is>
          <t>SELL_RISK_STATE_OK</t>
        </is>
      </c>
    </row>
    <row r="360">
      <c r="A360" t="inlineStr">
        <is>
          <t>2# SELL_LIVE_PROFIT_GATED_V3_DEEP_PASS.xlsx</t>
        </is>
      </c>
      <c r="B360" t="inlineStr">
        <is>
          <t>SELL_PROFILE_FIXED</t>
        </is>
      </c>
      <c r="C360" t="inlineStr">
        <is>
          <t>E1</t>
        </is>
      </c>
      <c r="D360" t="inlineStr">
        <is>
          <t>SELL_STREAK_OK</t>
        </is>
      </c>
    </row>
    <row r="361">
      <c r="A361" t="inlineStr">
        <is>
          <t>2# SELL_LIVE_PROFIT_GATED_V3_DEEP_PASS.xlsx</t>
        </is>
      </c>
      <c r="B361" t="inlineStr">
        <is>
          <t>SELL_PROFILE_FIXED</t>
        </is>
      </c>
      <c r="C361" t="inlineStr">
        <is>
          <t>G1</t>
        </is>
      </c>
      <c r="D361" t="inlineStr">
        <is>
          <t>PARTIAL_SELL_PCT</t>
        </is>
      </c>
    </row>
    <row r="362">
      <c r="A362" t="inlineStr">
        <is>
          <t>2# SELL_LIVE_PROFIT_GATED_V3_DEEP_PASS.xlsx</t>
        </is>
      </c>
      <c r="B362" t="inlineStr">
        <is>
          <t>SELL_PROFILE_FIXED</t>
        </is>
      </c>
      <c r="C362" t="inlineStr">
        <is>
          <t>H1</t>
        </is>
      </c>
      <c r="D362" t="inlineStr">
        <is>
          <t>SELL_ALLOWED</t>
        </is>
      </c>
    </row>
    <row r="363">
      <c r="A363" t="inlineStr">
        <is>
          <t>2# SELL_LIVE_PROFIT_GATED_V3_DEEP_PASS.xlsx</t>
        </is>
      </c>
      <c r="B363" t="inlineStr">
        <is>
          <t>SELL_PROFILE_FIXED</t>
        </is>
      </c>
      <c r="C363" t="inlineStr">
        <is>
          <t>I1</t>
        </is>
      </c>
      <c r="D363" t="inlineStr">
        <is>
          <t>PRESELL_TRIGGER</t>
        </is>
      </c>
    </row>
    <row r="364">
      <c r="A364" t="inlineStr">
        <is>
          <t>2# SELL_LIVE_PROFIT_GATED_V3_DEEP_PASS.xlsx</t>
        </is>
      </c>
      <c r="B364" t="inlineStr">
        <is>
          <t>SELL_PROFILE_FIXED</t>
        </is>
      </c>
      <c r="C364" t="inlineStr">
        <is>
          <t>J1</t>
        </is>
      </c>
      <c r="D364" t="inlineStr">
        <is>
          <t>PRESELL_PCT</t>
        </is>
      </c>
    </row>
    <row r="365">
      <c r="A365" t="inlineStr">
        <is>
          <t>2# SELL_LIVE_PROFIT_GATED_V3_DEEP_PASS.xlsx</t>
        </is>
      </c>
      <c r="B365" t="inlineStr">
        <is>
          <t>SELL_PROFILE_FIXED</t>
        </is>
      </c>
      <c r="C365" t="inlineStr">
        <is>
          <t>L1</t>
        </is>
      </c>
      <c r="D365" t="inlineStr">
        <is>
          <t>EMERGENCY_SELL_PCT</t>
        </is>
      </c>
    </row>
    <row r="366">
      <c r="A366" t="inlineStr">
        <is>
          <t>2# SELL_LIVE_PROFIT_GATED_V3_DEEP_PASS.xlsx</t>
        </is>
      </c>
      <c r="B366" t="inlineStr">
        <is>
          <t>SELL_PROFILE_FIXED</t>
        </is>
      </c>
      <c r="C366" t="inlineStr">
        <is>
          <t>M1</t>
        </is>
      </c>
      <c r="D366" t="inlineStr">
        <is>
          <t>SELL_ACTION</t>
        </is>
      </c>
    </row>
    <row r="367">
      <c r="A367" t="inlineStr">
        <is>
          <t>2# SELL_LIVE_PROFIT_GATED_V3_DEEP_PASS.xlsx</t>
        </is>
      </c>
      <c r="B367" t="inlineStr">
        <is>
          <t>SELL_PROFILE_FIXED</t>
        </is>
      </c>
      <c r="C367" t="inlineStr">
        <is>
          <t>N1</t>
        </is>
      </c>
      <c r="D367" t="inlineStr">
        <is>
          <t>SELL_PCT_FINAL</t>
        </is>
      </c>
    </row>
    <row r="368">
      <c r="A368" t="inlineStr">
        <is>
          <t>2# SELL_LIVE_PROFIT_GATED_V3_DEEP_PASS.xlsx</t>
        </is>
      </c>
      <c r="B368" t="inlineStr">
        <is>
          <t>SELL_PROFILE_FIXED</t>
        </is>
      </c>
      <c r="C368" t="inlineStr">
        <is>
          <t>P1</t>
        </is>
      </c>
      <c r="D368" t="inlineStr">
        <is>
          <t>SELL_FEE_PCT</t>
        </is>
      </c>
    </row>
    <row r="369">
      <c r="A369" t="inlineStr">
        <is>
          <t>2# SELL_LIVE_PROFIT_GATED_V3_DEEP_PASS.xlsx</t>
        </is>
      </c>
      <c r="B369" t="inlineStr">
        <is>
          <t>SELL_PROFILE_FIXED</t>
        </is>
      </c>
      <c r="C369" t="inlineStr">
        <is>
          <t>U1</t>
        </is>
      </c>
      <c r="D369" t="inlineStr">
        <is>
          <t>SELL_ALLOWED_FINAL</t>
        </is>
      </c>
    </row>
    <row r="370">
      <c r="A370" t="inlineStr">
        <is>
          <t>2# SELL_LIVE_PROFIT_GATED_V3_DEEP_PASS.xlsx</t>
        </is>
      </c>
      <c r="B370" t="inlineStr">
        <is>
          <t>SELL_PROFILE_FIXED</t>
        </is>
      </c>
      <c r="C370" t="inlineStr">
        <is>
          <t>A2</t>
        </is>
      </c>
      <c r="D370">
        <f>SELL_PROFILE!B2</f>
        <v/>
      </c>
    </row>
    <row r="371">
      <c r="A371" t="inlineStr">
        <is>
          <t>2# SELL_LIVE_PROFIT_GATED_V3_DEEP_PASS.xlsx</t>
        </is>
      </c>
      <c r="B371" t="inlineStr">
        <is>
          <t>SELL_PROFILE_FIXED</t>
        </is>
      </c>
      <c r="C371" t="inlineStr">
        <is>
          <t>D2</t>
        </is>
      </c>
      <c r="D371">
        <f>RISK_ENGINE!B2="OK"</f>
        <v/>
      </c>
    </row>
    <row r="372">
      <c r="A372" t="inlineStr">
        <is>
          <t>2# SELL_LIVE_PROFIT_GATED_V3_DEEP_PASS.xlsx</t>
        </is>
      </c>
      <c r="B372" t="inlineStr">
        <is>
          <t>SELL_PROFILE_FIXED</t>
        </is>
      </c>
      <c r="C372" t="inlineStr">
        <is>
          <t>G2</t>
        </is>
      </c>
      <c r="D372">
        <f>IF(SELL_ALLOWED,0.3,0)</f>
        <v/>
      </c>
    </row>
    <row r="373">
      <c r="A373" t="inlineStr">
        <is>
          <t>2# SELL_LIVE_PROFIT_GATED_V3_DEEP_PASS.xlsx</t>
        </is>
      </c>
      <c r="B373" t="inlineStr">
        <is>
          <t>SELL_PROFILE_FIXED</t>
        </is>
      </c>
      <c r="C373" t="inlineStr">
        <is>
          <t>K2</t>
        </is>
      </c>
      <c r="D373">
        <f>AND(RISK_ENGINE!B2="ALERT",MARKET!B2="VOL_SPIKE")</f>
        <v/>
      </c>
    </row>
    <row r="374">
      <c r="A374" t="inlineStr">
        <is>
          <t>2# SELL_LIVE_PROFIT_GATED_V3_DEEP_PASS.xlsx</t>
        </is>
      </c>
      <c r="B374" t="inlineStr">
        <is>
          <t>SELL_PARTIAL_RUNNER</t>
        </is>
      </c>
      <c r="C374" t="inlineStr">
        <is>
          <t>A7</t>
        </is>
      </c>
      <c r="D374" t="inlineStr">
        <is>
          <t>PARTIAL_SELL_ALLOWED</t>
        </is>
      </c>
    </row>
    <row r="375">
      <c r="A375" t="inlineStr">
        <is>
          <t>2# SELL_LIVE_PROFIT_GATED_V3_DEEP_PASS.xlsx</t>
        </is>
      </c>
      <c r="B375" t="inlineStr">
        <is>
          <t>SELL_PARTIAL_RUNNER</t>
        </is>
      </c>
      <c r="C375" t="inlineStr">
        <is>
          <t>A8</t>
        </is>
      </c>
      <c r="D375" t="inlineStr">
        <is>
          <t>RUNNER_SELL_ALLOWED</t>
        </is>
      </c>
    </row>
    <row r="376">
      <c r="A376" t="inlineStr">
        <is>
          <t>2# SELL_LIVE_PROFIT_GATED_V3_DEEP_PASS.xlsx</t>
        </is>
      </c>
      <c r="B376" t="inlineStr">
        <is>
          <t>SELL_PARTIAL_RUNNER</t>
        </is>
      </c>
      <c r="C376" t="inlineStr">
        <is>
          <t>B8</t>
        </is>
      </c>
      <c r="D376">
        <f>SELL_ALLOWED_FINAL</f>
        <v/>
      </c>
    </row>
    <row r="377">
      <c r="A377" t="inlineStr">
        <is>
          <t>2# SELL_LIVE_PROFIT_GATED_V3_DEEP_PASS.xlsx</t>
        </is>
      </c>
      <c r="B377" t="inlineStr">
        <is>
          <t>SELL_CONFIDENCE_LAYER</t>
        </is>
      </c>
      <c r="C377" t="inlineStr">
        <is>
          <t>A5</t>
        </is>
      </c>
      <c r="D377" t="inlineStr">
        <is>
          <t>SELL_CONFIDENCE_OK</t>
        </is>
      </c>
    </row>
    <row r="378">
      <c r="A378" t="inlineStr">
        <is>
          <t>2# SELL_LIVE_PROFIT_GATED_V3_DEEP_PASS.xlsx</t>
        </is>
      </c>
      <c r="B378" t="inlineStr">
        <is>
          <t>SELL_FINAL_WRAPPER</t>
        </is>
      </c>
      <c r="C378" t="inlineStr">
        <is>
          <t>A1</t>
        </is>
      </c>
      <c r="D378" t="inlineStr">
        <is>
          <t>SELL_ALLOWED_DEEP</t>
        </is>
      </c>
    </row>
    <row r="379">
      <c r="A379" t="inlineStr">
        <is>
          <t>2# SELL_LIVE_PROFIT_GATED_V3_DEEP_PASS.xlsx</t>
        </is>
      </c>
      <c r="B379" t="inlineStr">
        <is>
          <t>SELL_FINAL_WRAPPER</t>
        </is>
      </c>
      <c r="C379" t="inlineStr">
        <is>
          <t>B1</t>
        </is>
      </c>
      <c r="D379">
        <f>AND(SELL_ALLOWED_FINAL,SELL_CONFIDENCE_OK,TIME_FLOOR_OK)</f>
        <v/>
      </c>
    </row>
    <row r="380">
      <c r="A380" t="inlineStr">
        <is>
          <t>2# SELL_LIVE_PROFIT_GATED_V3_DEEP_PASS.xlsx</t>
        </is>
      </c>
      <c r="B380" t="inlineStr">
        <is>
          <t>SELL_FINAL_WRAPPER</t>
        </is>
      </c>
      <c r="C380" t="inlineStr">
        <is>
          <t>B3</t>
        </is>
      </c>
      <c r="D380" t="inlineStr">
        <is>
          <t>Deep pass – high confidence exit only</t>
        </is>
      </c>
    </row>
    <row r="381">
      <c r="A381" t="inlineStr">
        <is>
          <t>SELL_LIVE_PROFIT_GATED_V2_PARTIAL_RUNNER.xlsx</t>
        </is>
      </c>
      <c r="B381" t="inlineStr">
        <is>
          <t>README</t>
        </is>
      </c>
      <c r="C381" t="inlineStr">
        <is>
          <t>B2</t>
        </is>
      </c>
      <c r="D381" t="inlineStr">
        <is>
          <t>DYZEN CAPITAL OS</t>
        </is>
      </c>
    </row>
    <row r="382">
      <c r="A382" t="inlineStr">
        <is>
          <t>SELL_LIVE_PROFIT_GATED_V2_PARTIAL_RUNNER.xlsx</t>
        </is>
      </c>
      <c r="B382" t="inlineStr">
        <is>
          <t>README</t>
        </is>
      </c>
      <c r="C382" t="inlineStr">
        <is>
          <t>B4</t>
        </is>
      </c>
      <c r="D382" t="inlineStr">
        <is>
          <t>Private Decision Engine for Capital, Risk &amp; Trading Intelligence</t>
        </is>
      </c>
    </row>
    <row r="383">
      <c r="A383" t="inlineStr">
        <is>
          <t>SELL_LIVE_PROFIT_GATED_V2_PARTIAL_RUNNER.xlsx</t>
        </is>
      </c>
      <c r="B383" t="inlineStr">
        <is>
          <t>README</t>
        </is>
      </c>
      <c r="C383" t="inlineStr">
        <is>
          <t>B7</t>
        </is>
      </c>
      <c r="D38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84">
      <c r="A384" t="inlineStr">
        <is>
          <t>SELL_LIVE_PROFIT_GATED_V2_PARTIAL_RUNNER.xlsx</t>
        </is>
      </c>
      <c r="B384" t="inlineStr">
        <is>
          <t>INPUTS</t>
        </is>
      </c>
      <c r="C384" t="inlineStr">
        <is>
          <t>A1</t>
        </is>
      </c>
      <c r="D384" t="inlineStr">
        <is>
          <t>Capital</t>
        </is>
      </c>
    </row>
    <row r="385">
      <c r="A385" t="inlineStr">
        <is>
          <t>SELL_LIVE_PROFIT_GATED_V2_PARTIAL_RUNNER.xlsx</t>
        </is>
      </c>
      <c r="B385" t="inlineStr">
        <is>
          <t>INPUTS</t>
        </is>
      </c>
      <c r="C385" t="inlineStr">
        <is>
          <t>B1</t>
        </is>
      </c>
      <c r="D385" t="inlineStr">
        <is>
          <t>Risk Appetite</t>
        </is>
      </c>
    </row>
    <row r="386">
      <c r="A386" t="inlineStr">
        <is>
          <t>SELL_LIVE_PROFIT_GATED_V2_PARTIAL_RUNNER.xlsx</t>
        </is>
      </c>
      <c r="B386" t="inlineStr">
        <is>
          <t>MARKET</t>
        </is>
      </c>
      <c r="C386" t="inlineStr">
        <is>
          <t>C1</t>
        </is>
      </c>
      <c r="D386" t="inlineStr">
        <is>
          <t>Regime Score</t>
        </is>
      </c>
    </row>
    <row r="387">
      <c r="A387" t="inlineStr">
        <is>
          <t>SELL_LIVE_PROFIT_GATED_V2_PARTIAL_RUNNER.xlsx</t>
        </is>
      </c>
      <c r="B387" t="inlineStr">
        <is>
          <t>MARKET</t>
        </is>
      </c>
      <c r="C387" t="inlineStr">
        <is>
          <t>D1</t>
        </is>
      </c>
      <c r="D387" t="inlineStr">
        <is>
          <t>Regime OK</t>
        </is>
      </c>
    </row>
    <row r="388">
      <c r="A388" t="inlineStr">
        <is>
          <t>SELL_LIVE_PROFIT_GATED_V2_PARTIAL_RUNNER.xlsx</t>
        </is>
      </c>
      <c r="B388" t="inlineStr">
        <is>
          <t>SETUP</t>
        </is>
      </c>
      <c r="C388" t="inlineStr">
        <is>
          <t>A6</t>
        </is>
      </c>
      <c r="D388" t="inlineStr">
        <is>
          <t>Risk : Reward Ratio</t>
        </is>
      </c>
    </row>
    <row r="389">
      <c r="A389" t="inlineStr">
        <is>
          <t>SELL_LIVE_PROFIT_GATED_V2_PARTIAL_RUNNER.xlsx</t>
        </is>
      </c>
      <c r="B389" t="inlineStr">
        <is>
          <t>SETUP</t>
        </is>
      </c>
      <c r="C389" t="inlineStr">
        <is>
          <t>A17</t>
        </is>
      </c>
      <c r="D389" t="inlineStr">
        <is>
          <t>Late Entry Risk</t>
        </is>
      </c>
    </row>
    <row r="390">
      <c r="A390" t="inlineStr">
        <is>
          <t>SELL_LIVE_PROFIT_GATED_V2_PARTIAL_RUNNER.xlsx</t>
        </is>
      </c>
      <c r="B390" t="inlineStr">
        <is>
          <t>PSYCHO</t>
        </is>
      </c>
      <c r="C390" t="inlineStr">
        <is>
          <t>A2</t>
        </is>
      </c>
      <c r="D390" t="inlineStr">
        <is>
          <t>Confidence Level (0–10)</t>
        </is>
      </c>
    </row>
    <row r="391">
      <c r="A391" t="inlineStr">
        <is>
          <t>SELL_LIVE_PROFIT_GATED_V2_PARTIAL_RUNNER.xlsx</t>
        </is>
      </c>
      <c r="B391" t="inlineStr">
        <is>
          <t>PSYCHO</t>
        </is>
      </c>
      <c r="C391" t="inlineStr">
        <is>
          <t>A9</t>
        </is>
      </c>
      <c r="D391" t="inlineStr">
        <is>
          <t>Overconfidence Risk (LOW/MED/HIGH)</t>
        </is>
      </c>
    </row>
    <row r="392">
      <c r="A392" t="inlineStr">
        <is>
          <t>SELL_LIVE_PROFIT_GATED_V2_PARTIAL_RUNNER.xlsx</t>
        </is>
      </c>
      <c r="B392" t="inlineStr">
        <is>
          <t>PSYCHO</t>
        </is>
      </c>
      <c r="C392" t="inlineStr">
        <is>
          <t>A11</t>
        </is>
      </c>
      <c r="D392" t="inlineStr">
        <is>
          <t>Revenge Trading Risk (YES/NO)</t>
        </is>
      </c>
    </row>
    <row r="393">
      <c r="A393" t="inlineStr">
        <is>
          <t>SELL_LIVE_PROFIT_GATED_V2_PARTIAL_RUNNER.xlsx</t>
        </is>
      </c>
      <c r="B393" t="inlineStr">
        <is>
          <t>PSYCHO</t>
        </is>
      </c>
      <c r="C393" t="inlineStr">
        <is>
          <t>A16</t>
        </is>
      </c>
      <c r="D393" t="inlineStr">
        <is>
          <t>Psychology Risk Flag</t>
        </is>
      </c>
    </row>
    <row r="394">
      <c r="A394" t="inlineStr">
        <is>
          <t>SELL_LIVE_PROFIT_GATED_V2_PARTIAL_RUNNER.xlsx</t>
        </is>
      </c>
      <c r="B394" t="inlineStr">
        <is>
          <t>PSYCHO</t>
        </is>
      </c>
      <c r="C394" t="inlineStr">
        <is>
          <t>A17</t>
        </is>
      </c>
      <c r="D394" t="inlineStr">
        <is>
          <t>Stability Threshold</t>
        </is>
      </c>
    </row>
    <row r="395">
      <c r="A395" t="inlineStr">
        <is>
          <t>SELL_LIVE_PROFIT_GATED_V2_PARTIAL_RUNNER.xlsx</t>
        </is>
      </c>
      <c r="B395" t="inlineStr">
        <is>
          <t>RISK_ENGINE</t>
        </is>
      </c>
      <c r="C395" t="inlineStr">
        <is>
          <t>A1</t>
        </is>
      </c>
      <c r="D395" t="inlineStr">
        <is>
          <t>ZONE A — CAPITAL INPUTS (INPUT)</t>
        </is>
      </c>
    </row>
    <row r="396">
      <c r="A396" t="inlineStr">
        <is>
          <t>SELL_LIVE_PROFIT_GATED_V2_PARTIAL_RUNNER.xlsx</t>
        </is>
      </c>
      <c r="B396" t="inlineStr">
        <is>
          <t>RISK_ENGINE</t>
        </is>
      </c>
      <c r="C396" t="inlineStr">
        <is>
          <t>A3</t>
        </is>
      </c>
      <c r="D396" t="inlineStr">
        <is>
          <t>Base Risk %</t>
        </is>
      </c>
    </row>
    <row r="397">
      <c r="A397" t="inlineStr">
        <is>
          <t>SELL_LIVE_PROFIT_GATED_V2_PARTIAL_RUNNER.xlsx</t>
        </is>
      </c>
      <c r="B397" t="inlineStr">
        <is>
          <t>RISK_ENGINE</t>
        </is>
      </c>
      <c r="C397" t="inlineStr">
        <is>
          <t>A4</t>
        </is>
      </c>
      <c r="D397" t="inlineStr">
        <is>
          <t>Max Risk % per Day</t>
        </is>
      </c>
    </row>
    <row r="398">
      <c r="A398" t="inlineStr">
        <is>
          <t>SELL_LIVE_PROFIT_GATED_V2_PARTIAL_RUNNER.xlsx</t>
        </is>
      </c>
      <c r="B398" t="inlineStr">
        <is>
          <t>RISK_ENGINE</t>
        </is>
      </c>
      <c r="C398" t="inlineStr">
        <is>
          <t>A5</t>
        </is>
      </c>
      <c r="D398" t="inlineStr">
        <is>
          <t>Max Risk % per Week</t>
        </is>
      </c>
    </row>
    <row r="399">
      <c r="A399" t="inlineStr">
        <is>
          <t>SELL_LIVE_PROFIT_GATED_V2_PARTIAL_RUNNER.xlsx</t>
        </is>
      </c>
      <c r="B399" t="inlineStr">
        <is>
          <t>RISK_ENGINE</t>
        </is>
      </c>
      <c r="C399" t="inlineStr">
        <is>
          <t>A6</t>
        </is>
      </c>
      <c r="D399" t="inlineStr">
        <is>
          <t>Risk Appetite (LOW/MED/HIGH)</t>
        </is>
      </c>
    </row>
    <row r="400">
      <c r="A400" t="inlineStr">
        <is>
          <t>SELL_LIVE_PROFIT_GATED_V2_PARTIAL_RUNNER.xlsx</t>
        </is>
      </c>
      <c r="B400" t="inlineStr">
        <is>
          <t>RISK_ENGINE</t>
        </is>
      </c>
      <c r="C400" t="inlineStr">
        <is>
          <t>A8</t>
        </is>
      </c>
      <c r="D400" t="inlineStr">
        <is>
          <t>ZONE B — PERFORMANCE &amp; DRAWDOWN STATES (DERIVED)</t>
        </is>
      </c>
    </row>
    <row r="401">
      <c r="A401" t="inlineStr">
        <is>
          <t>SELL_LIVE_PROFIT_GATED_V2_PARTIAL_RUNNER.xlsx</t>
        </is>
      </c>
      <c r="B401" t="inlineStr">
        <is>
          <t>RISK_ENGINE</t>
        </is>
      </c>
      <c r="C401" t="inlineStr">
        <is>
          <t>A11</t>
        </is>
      </c>
      <c r="D401" t="inlineStr">
        <is>
          <t>Peak-to-Trough Drawdown %</t>
        </is>
      </c>
    </row>
    <row r="402">
      <c r="A402" t="inlineStr">
        <is>
          <t>SELL_LIVE_PROFIT_GATED_V2_PARTIAL_RUNNER.xlsx</t>
        </is>
      </c>
      <c r="B402" t="inlineStr">
        <is>
          <t>RISK_ENGINE</t>
        </is>
      </c>
      <c r="C402" t="inlineStr">
        <is>
          <t>A15</t>
        </is>
      </c>
      <c r="D402" t="inlineStr">
        <is>
          <t>ZONE C — RISK GOVERNORS (LOGIC)</t>
        </is>
      </c>
    </row>
    <row r="403">
      <c r="A403" t="inlineStr">
        <is>
          <t>SELL_LIVE_PROFIT_GATED_V2_PARTIAL_RUNNER.xlsx</t>
        </is>
      </c>
      <c r="B403" t="inlineStr">
        <is>
          <t>RISK_ENGINE</t>
        </is>
      </c>
      <c r="C403" t="inlineStr">
        <is>
          <t>A16</t>
        </is>
      </c>
      <c r="D403" t="inlineStr">
        <is>
          <t>Drawdown State (NORMAL/WARNING/LOCKDOWN)</t>
        </is>
      </c>
    </row>
    <row r="404">
      <c r="A404" t="inlineStr">
        <is>
          <t>SELL_LIVE_PROFIT_GATED_V2_PARTIAL_RUNNER.xlsx</t>
        </is>
      </c>
      <c r="B404" t="inlineStr">
        <is>
          <t>RISK_ENGINE</t>
        </is>
      </c>
      <c r="C404" t="inlineStr">
        <is>
          <t>A17</t>
        </is>
      </c>
      <c r="D404" t="inlineStr">
        <is>
          <t>Risk Scaling Factor</t>
        </is>
      </c>
    </row>
    <row r="405">
      <c r="A405" t="inlineStr">
        <is>
          <t>SELL_LIVE_PROFIT_GATED_V2_PARTIAL_RUNNER.xlsx</t>
        </is>
      </c>
      <c r="B405" t="inlineStr">
        <is>
          <t>RISK_ENGINE</t>
        </is>
      </c>
      <c r="C405" t="inlineStr">
        <is>
          <t>A19</t>
        </is>
      </c>
      <c r="D405" t="inlineStr">
        <is>
          <t>Capital Survival Score (0–100)</t>
        </is>
      </c>
    </row>
    <row r="406">
      <c r="A406" t="inlineStr">
        <is>
          <t>SELL_LIVE_PROFIT_GATED_V2_PARTIAL_RUNNER.xlsx</t>
        </is>
      </c>
      <c r="B406" t="inlineStr">
        <is>
          <t>RISK_ENGINE</t>
        </is>
      </c>
      <c r="C406" t="inlineStr">
        <is>
          <t>A21</t>
        </is>
      </c>
      <c r="D406" t="inlineStr">
        <is>
          <t>ZONE D — RISK PERMISSION OUTPUT (DECISION)</t>
        </is>
      </c>
    </row>
    <row r="407">
      <c r="A407" t="inlineStr">
        <is>
          <t>SELL_LIVE_PROFIT_GATED_V2_PARTIAL_RUNNER.xlsx</t>
        </is>
      </c>
      <c r="B407" t="inlineStr">
        <is>
          <t>RISK_ENGINE</t>
        </is>
      </c>
      <c r="C407" t="inlineStr">
        <is>
          <t>A24</t>
        </is>
      </c>
      <c r="D407" t="inlineStr">
        <is>
          <t>Risk Block Reason</t>
        </is>
      </c>
    </row>
    <row r="408">
      <c r="A408" t="inlineStr">
        <is>
          <t>SELL_LIVE_PROFIT_GATED_V2_PARTIAL_RUNNER.xlsx</t>
        </is>
      </c>
      <c r="B408" t="inlineStr">
        <is>
          <t>SIGNAL_OUTBOX</t>
        </is>
      </c>
      <c r="C408" t="inlineStr">
        <is>
          <t>F2</t>
        </is>
      </c>
      <c r="D408" t="inlineStr">
        <is>
          <t>SELL</t>
        </is>
      </c>
    </row>
    <row r="409">
      <c r="A409" t="inlineStr">
        <is>
          <t>SELL_LIVE_PROFIT_GATED_V2_PARTIAL_RUNNER.xlsx</t>
        </is>
      </c>
      <c r="B409" t="inlineStr">
        <is>
          <t>SIGNAL_OUTBOX</t>
        </is>
      </c>
      <c r="C409" t="inlineStr">
        <is>
          <t>G2</t>
        </is>
      </c>
      <c r="D409">
        <f>SELL_PROFILE_FIXED!M2</f>
        <v/>
      </c>
    </row>
    <row r="410">
      <c r="A410" t="inlineStr">
        <is>
          <t>SELL_LIVE_PROFIT_GATED_V2_PARTIAL_RUNNER.xlsx</t>
        </is>
      </c>
      <c r="B410" t="inlineStr">
        <is>
          <t>SIGNAL_OUTBOX</t>
        </is>
      </c>
      <c r="C410" t="inlineStr">
        <is>
          <t>H2</t>
        </is>
      </c>
      <c r="D410">
        <f>SELL_PROFILE_FIXED!N2</f>
        <v/>
      </c>
    </row>
    <row r="411">
      <c r="A411" t="inlineStr">
        <is>
          <t>SELL_LIVE_PROFIT_GATED_V2_PARTIAL_RUNNER.xlsx</t>
        </is>
      </c>
      <c r="B411" t="inlineStr">
        <is>
          <t>SIGNAL_OUTBOX</t>
        </is>
      </c>
      <c r="C411" t="inlineStr">
        <is>
          <t>A4</t>
        </is>
      </c>
      <c r="D411" t="inlineStr">
        <is>
          <t>Verdict Confidence Level</t>
        </is>
      </c>
    </row>
    <row r="412">
      <c r="A412" t="inlineStr">
        <is>
          <t>SELL_LIVE_PROFIT_GATED_V2_PARTIAL_RUNNER.xlsx</t>
        </is>
      </c>
      <c r="B412" t="inlineStr">
        <is>
          <t>SIGNAL_OUTBOX</t>
        </is>
      </c>
      <c r="C412" t="inlineStr">
        <is>
          <t>A10</t>
        </is>
      </c>
      <c r="D412" t="inlineStr">
        <is>
          <t>Confidence Check</t>
        </is>
      </c>
    </row>
    <row r="413">
      <c r="A413" t="inlineStr">
        <is>
          <t>SELL_LIVE_PROFIT_GATED_V2_PARTIAL_RUNNER.xlsx</t>
        </is>
      </c>
      <c r="B413" t="inlineStr">
        <is>
          <t>JOURNAL</t>
        </is>
      </c>
      <c r="C413" t="inlineStr">
        <is>
          <t>C1</t>
        </is>
      </c>
      <c r="D413" t="inlineStr">
        <is>
          <t>Regime</t>
        </is>
      </c>
    </row>
    <row r="414">
      <c r="A414" t="inlineStr">
        <is>
          <t>SELL_LIVE_PROFIT_GATED_V2_PARTIAL_RUNNER.xlsx</t>
        </is>
      </c>
      <c r="B414" t="inlineStr">
        <is>
          <t>PERMISSION_BUS</t>
        </is>
      </c>
      <c r="C414" t="inlineStr">
        <is>
          <t>A2</t>
        </is>
      </c>
      <c r="D414" t="inlineStr">
        <is>
          <t>Market Regime OK</t>
        </is>
      </c>
    </row>
    <row r="415">
      <c r="A415" t="inlineStr">
        <is>
          <t>SELL_LIVE_PROFIT_GATED_V2_PARTIAL_RUNNER.xlsx</t>
        </is>
      </c>
      <c r="B415" t="inlineStr">
        <is>
          <t>PERMISSION_BUS</t>
        </is>
      </c>
      <c r="C415" t="inlineStr">
        <is>
          <t>A3</t>
        </is>
      </c>
      <c r="D415" t="inlineStr">
        <is>
          <t>Risk Engine OK</t>
        </is>
      </c>
    </row>
    <row r="416">
      <c r="A416" t="inlineStr">
        <is>
          <t>SELL_LIVE_PROFIT_GATED_V2_PARTIAL_RUNNER.xlsx</t>
        </is>
      </c>
      <c r="B416" t="inlineStr">
        <is>
          <t>PERMISSION_BUS</t>
        </is>
      </c>
      <c r="C416" t="inlineStr">
        <is>
          <t>A14</t>
        </is>
      </c>
      <c r="D416" t="inlineStr">
        <is>
          <t>Verdict Confidence Level</t>
        </is>
      </c>
    </row>
    <row r="417">
      <c r="A417" t="inlineStr">
        <is>
          <t>SELL_LIVE_PROFIT_GATED_V2_PARTIAL_RUNNER.xlsx</t>
        </is>
      </c>
      <c r="B417" t="inlineStr">
        <is>
          <t>SELL_PROFILE</t>
        </is>
      </c>
      <c r="C417" t="inlineStr">
        <is>
          <t>C1</t>
        </is>
      </c>
      <c r="D417" t="inlineStr">
        <is>
          <t>SELL_PROFILE</t>
        </is>
      </c>
    </row>
    <row r="418">
      <c r="A418" t="inlineStr">
        <is>
          <t>SELL_LIVE_PROFIT_GATED_V2_PARTIAL_RUNNER.xlsx</t>
        </is>
      </c>
      <c r="B418" t="inlineStr">
        <is>
          <t>SELL_PROFILE</t>
        </is>
      </c>
      <c r="C418" t="inlineStr">
        <is>
          <t>A2</t>
        </is>
      </c>
      <c r="D418" t="inlineStr">
        <is>
          <t>CONFIDENCE_MIN</t>
        </is>
      </c>
    </row>
    <row r="419">
      <c r="A419" t="inlineStr">
        <is>
          <t>SELL_LIVE_PROFIT_GATED_V2_PARTIAL_RUNNER.xlsx</t>
        </is>
      </c>
      <c r="B419" t="inlineStr">
        <is>
          <t>SELL_PROFILE</t>
        </is>
      </c>
      <c r="C419" t="inlineStr">
        <is>
          <t>D2</t>
        </is>
      </c>
      <c r="D419" t="inlineStr">
        <is>
          <t>SELL-ს ნაკლები სიზუსტე სჭირდება</t>
        </is>
      </c>
    </row>
    <row r="420">
      <c r="A420" t="inlineStr">
        <is>
          <t>SELL_LIVE_PROFIT_GATED_V2_PARTIAL_RUNNER.xlsx</t>
        </is>
      </c>
      <c r="B420" t="inlineStr">
        <is>
          <t>SELL_PROFILE</t>
        </is>
      </c>
      <c r="C420" t="inlineStr">
        <is>
          <t>D3</t>
        </is>
      </c>
      <c r="D420" t="inlineStr">
        <is>
          <t>SELL უფრო გვიანაც დაიშვება</t>
        </is>
      </c>
    </row>
    <row r="421">
      <c r="A421" t="inlineStr">
        <is>
          <t>SELL_LIVE_PROFIT_GATED_V2_PARTIAL_RUNNER.xlsx</t>
        </is>
      </c>
      <c r="B421" t="inlineStr">
        <is>
          <t>SELL_PROFILE</t>
        </is>
      </c>
      <c r="C421" t="inlineStr">
        <is>
          <t>D4</t>
        </is>
      </c>
      <c r="D421" t="inlineStr">
        <is>
          <t>SELL იღებს თხელ წიგნსაც</t>
        </is>
      </c>
    </row>
    <row r="422">
      <c r="A422" t="inlineStr">
        <is>
          <t>SELL_LIVE_PROFIT_GATED_V2_PARTIAL_RUNNER.xlsx</t>
        </is>
      </c>
      <c r="B422" t="inlineStr">
        <is>
          <t>SELL_PROFILE</t>
        </is>
      </c>
      <c r="C422" t="inlineStr">
        <is>
          <t>A5</t>
        </is>
      </c>
      <c r="D422" t="inlineStr">
        <is>
          <t>RISK_STRICTNESS</t>
        </is>
      </c>
    </row>
    <row r="423">
      <c r="A423" t="inlineStr">
        <is>
          <t>SELL_LIVE_PROFIT_GATED_V2_PARTIAL_RUNNER.xlsx</t>
        </is>
      </c>
      <c r="B423" t="inlineStr">
        <is>
          <t>SELL_PROFILE</t>
        </is>
      </c>
      <c r="C423" t="inlineStr">
        <is>
          <t>D5</t>
        </is>
      </c>
      <c r="D423" t="inlineStr">
        <is>
          <t>SELL = damage control</t>
        </is>
      </c>
    </row>
    <row r="424">
      <c r="A424" t="inlineStr">
        <is>
          <t>SELL_LIVE_PROFIT_GATED_V2_PARTIAL_RUNNER.xlsx</t>
        </is>
      </c>
      <c r="B424" t="inlineStr">
        <is>
          <t>SELL_PROFILE</t>
        </is>
      </c>
      <c r="C424" t="inlineStr">
        <is>
          <t>D6</t>
        </is>
      </c>
      <c r="D424" t="inlineStr">
        <is>
          <t>SELL არ ეძებს პიკს</t>
        </is>
      </c>
    </row>
    <row r="425">
      <c r="A425" t="inlineStr">
        <is>
          <t>SELL_LIVE_PROFIT_GATED_V2_PARTIAL_RUNNER.xlsx</t>
        </is>
      </c>
      <c r="B425" t="inlineStr">
        <is>
          <t>SELL_PROFILE</t>
        </is>
      </c>
      <c r="C425" t="inlineStr">
        <is>
          <t>A7</t>
        </is>
      </c>
      <c r="D425" t="inlineStr">
        <is>
          <t>URGENCY_WEIGHT</t>
        </is>
      </c>
    </row>
    <row r="426">
      <c r="A426" t="inlineStr">
        <is>
          <t>SELL_LIVE_PROFIT_GATED_V2_PARTIAL_RUNNER.xlsx</t>
        </is>
      </c>
      <c r="B426" t="inlineStr">
        <is>
          <t>SELL_PROFILE</t>
        </is>
      </c>
      <c r="C426" t="inlineStr">
        <is>
          <t>D7</t>
        </is>
      </c>
      <c r="D426" t="inlineStr">
        <is>
          <t>SELL რეაგირებს სწრაფად</t>
        </is>
      </c>
    </row>
    <row r="427">
      <c r="A427" t="inlineStr">
        <is>
          <t>SELL_LIVE_PROFIT_GATED_V2_PARTIAL_RUNNER.xlsx</t>
        </is>
      </c>
      <c r="B427" t="inlineStr">
        <is>
          <t>SELL_PROFILE_FIXED</t>
        </is>
      </c>
      <c r="C427" t="inlineStr">
        <is>
          <t>A1</t>
        </is>
      </c>
      <c r="D427" t="inlineStr">
        <is>
          <t>SELL_CONFIDENCE</t>
        </is>
      </c>
    </row>
    <row r="428">
      <c r="A428" t="inlineStr">
        <is>
          <t>SELL_LIVE_PROFIT_GATED_V2_PARTIAL_RUNNER.xlsx</t>
        </is>
      </c>
      <c r="B428" t="inlineStr">
        <is>
          <t>SELL_PROFILE_FIXED</t>
        </is>
      </c>
      <c r="C428" t="inlineStr">
        <is>
          <t>B1</t>
        </is>
      </c>
      <c r="D428" t="inlineStr">
        <is>
          <t>SELL_CONFIDENCE_OK</t>
        </is>
      </c>
    </row>
    <row r="429">
      <c r="A429" t="inlineStr">
        <is>
          <t>SELL_LIVE_PROFIT_GATED_V2_PARTIAL_RUNNER.xlsx</t>
        </is>
      </c>
      <c r="B429" t="inlineStr">
        <is>
          <t>SELL_PROFILE_FIXED</t>
        </is>
      </c>
      <c r="C429" t="inlineStr">
        <is>
          <t>D1</t>
        </is>
      </c>
      <c r="D429" t="inlineStr">
        <is>
          <t>SELL_RISK_STATE_OK</t>
        </is>
      </c>
    </row>
    <row r="430">
      <c r="A430" t="inlineStr">
        <is>
          <t>SELL_LIVE_PROFIT_GATED_V2_PARTIAL_RUNNER.xlsx</t>
        </is>
      </c>
      <c r="B430" t="inlineStr">
        <is>
          <t>SELL_PROFILE_FIXED</t>
        </is>
      </c>
      <c r="C430" t="inlineStr">
        <is>
          <t>E1</t>
        </is>
      </c>
      <c r="D430" t="inlineStr">
        <is>
          <t>SELL_STREAK_OK</t>
        </is>
      </c>
    </row>
    <row r="431">
      <c r="A431" t="inlineStr">
        <is>
          <t>SELL_LIVE_PROFIT_GATED_V2_PARTIAL_RUNNER.xlsx</t>
        </is>
      </c>
      <c r="B431" t="inlineStr">
        <is>
          <t>SELL_PROFILE_FIXED</t>
        </is>
      </c>
      <c r="C431" t="inlineStr">
        <is>
          <t>G1</t>
        </is>
      </c>
      <c r="D431" t="inlineStr">
        <is>
          <t>PARTIAL_SELL_PCT</t>
        </is>
      </c>
    </row>
    <row r="432">
      <c r="A432" t="inlineStr">
        <is>
          <t>SELL_LIVE_PROFIT_GATED_V2_PARTIAL_RUNNER.xlsx</t>
        </is>
      </c>
      <c r="B432" t="inlineStr">
        <is>
          <t>SELL_PROFILE_FIXED</t>
        </is>
      </c>
      <c r="C432" t="inlineStr">
        <is>
          <t>H1</t>
        </is>
      </c>
      <c r="D432" t="inlineStr">
        <is>
          <t>SELL_ALLOWED</t>
        </is>
      </c>
    </row>
    <row r="433">
      <c r="A433" t="inlineStr">
        <is>
          <t>SELL_LIVE_PROFIT_GATED_V2_PARTIAL_RUNNER.xlsx</t>
        </is>
      </c>
      <c r="B433" t="inlineStr">
        <is>
          <t>SELL_PROFILE_FIXED</t>
        </is>
      </c>
      <c r="C433" t="inlineStr">
        <is>
          <t>I1</t>
        </is>
      </c>
      <c r="D433" t="inlineStr">
        <is>
          <t>PRESELL_TRIGGER</t>
        </is>
      </c>
    </row>
    <row r="434">
      <c r="A434" t="inlineStr">
        <is>
          <t>SELL_LIVE_PROFIT_GATED_V2_PARTIAL_RUNNER.xlsx</t>
        </is>
      </c>
      <c r="B434" t="inlineStr">
        <is>
          <t>SELL_PROFILE_FIXED</t>
        </is>
      </c>
      <c r="C434" t="inlineStr">
        <is>
          <t>J1</t>
        </is>
      </c>
      <c r="D434" t="inlineStr">
        <is>
          <t>PRESELL_PCT</t>
        </is>
      </c>
    </row>
    <row r="435">
      <c r="A435" t="inlineStr">
        <is>
          <t>SELL_LIVE_PROFIT_GATED_V2_PARTIAL_RUNNER.xlsx</t>
        </is>
      </c>
      <c r="B435" t="inlineStr">
        <is>
          <t>SELL_PROFILE_FIXED</t>
        </is>
      </c>
      <c r="C435" t="inlineStr">
        <is>
          <t>L1</t>
        </is>
      </c>
      <c r="D435" t="inlineStr">
        <is>
          <t>EMERGENCY_SELL_PCT</t>
        </is>
      </c>
    </row>
    <row r="436">
      <c r="A436" t="inlineStr">
        <is>
          <t>SELL_LIVE_PROFIT_GATED_V2_PARTIAL_RUNNER.xlsx</t>
        </is>
      </c>
      <c r="B436" t="inlineStr">
        <is>
          <t>SELL_PROFILE_FIXED</t>
        </is>
      </c>
      <c r="C436" t="inlineStr">
        <is>
          <t>M1</t>
        </is>
      </c>
      <c r="D436" t="inlineStr">
        <is>
          <t>SELL_ACTION</t>
        </is>
      </c>
    </row>
    <row r="437">
      <c r="A437" t="inlineStr">
        <is>
          <t>SELL_LIVE_PROFIT_GATED_V2_PARTIAL_RUNNER.xlsx</t>
        </is>
      </c>
      <c r="B437" t="inlineStr">
        <is>
          <t>SELL_PROFILE_FIXED</t>
        </is>
      </c>
      <c r="C437" t="inlineStr">
        <is>
          <t>N1</t>
        </is>
      </c>
      <c r="D437" t="inlineStr">
        <is>
          <t>SELL_PCT_FINAL</t>
        </is>
      </c>
    </row>
    <row r="438">
      <c r="A438" t="inlineStr">
        <is>
          <t>SELL_LIVE_PROFIT_GATED_V2_PARTIAL_RUNNER.xlsx</t>
        </is>
      </c>
      <c r="B438" t="inlineStr">
        <is>
          <t>SELL_PROFILE_FIXED</t>
        </is>
      </c>
      <c r="C438" t="inlineStr">
        <is>
          <t>P1</t>
        </is>
      </c>
      <c r="D438" t="inlineStr">
        <is>
          <t>SELL_FEE_PCT</t>
        </is>
      </c>
    </row>
    <row r="439">
      <c r="A439" t="inlineStr">
        <is>
          <t>SELL_LIVE_PROFIT_GATED_V2_PARTIAL_RUNNER.xlsx</t>
        </is>
      </c>
      <c r="B439" t="inlineStr">
        <is>
          <t>SELL_PROFILE_FIXED</t>
        </is>
      </c>
      <c r="C439" t="inlineStr">
        <is>
          <t>U1</t>
        </is>
      </c>
      <c r="D439" t="inlineStr">
        <is>
          <t>SELL_ALLOWED_FINAL</t>
        </is>
      </c>
    </row>
    <row r="440">
      <c r="A440" t="inlineStr">
        <is>
          <t>SELL_LIVE_PROFIT_GATED_V2_PARTIAL_RUNNER.xlsx</t>
        </is>
      </c>
      <c r="B440" t="inlineStr">
        <is>
          <t>SELL_PROFILE_FIXED</t>
        </is>
      </c>
      <c r="C440" t="inlineStr">
        <is>
          <t>A2</t>
        </is>
      </c>
      <c r="D440">
        <f>SELL_PROFILE!B2</f>
        <v/>
      </c>
    </row>
    <row r="441">
      <c r="A441" t="inlineStr">
        <is>
          <t>SELL_LIVE_PROFIT_GATED_V2_PARTIAL_RUNNER.xlsx</t>
        </is>
      </c>
      <c r="B441" t="inlineStr">
        <is>
          <t>SELL_PROFILE_FIXED</t>
        </is>
      </c>
      <c r="C441" t="inlineStr">
        <is>
          <t>D2</t>
        </is>
      </c>
      <c r="D441">
        <f>RISK_ENGINE!B2="OK"</f>
        <v/>
      </c>
    </row>
    <row r="442">
      <c r="A442" t="inlineStr">
        <is>
          <t>SELL_LIVE_PROFIT_GATED_V2_PARTIAL_RUNNER.xlsx</t>
        </is>
      </c>
      <c r="B442" t="inlineStr">
        <is>
          <t>SELL_PROFILE_FIXED</t>
        </is>
      </c>
      <c r="C442" t="inlineStr">
        <is>
          <t>G2</t>
        </is>
      </c>
      <c r="D442">
        <f>IF(SELL_ALLOWED,0.3,0)</f>
        <v/>
      </c>
    </row>
    <row r="443">
      <c r="A443" t="inlineStr">
        <is>
          <t>SELL_LIVE_PROFIT_GATED_V2_PARTIAL_RUNNER.xlsx</t>
        </is>
      </c>
      <c r="B443" t="inlineStr">
        <is>
          <t>SELL_PROFILE_FIXED</t>
        </is>
      </c>
      <c r="C443" t="inlineStr">
        <is>
          <t>K2</t>
        </is>
      </c>
      <c r="D443">
        <f>AND(RISK_ENGINE!B2="ALERT",MARKET!B2="VOL_SPIKE")</f>
        <v/>
      </c>
    </row>
    <row r="444">
      <c r="A444" t="inlineStr">
        <is>
          <t>SELL_LIVE_PROFIT_GATED_V2_PARTIAL_RUNNER.xlsx</t>
        </is>
      </c>
      <c r="B444" t="inlineStr">
        <is>
          <t>SELL_PARTIAL_RUNNER</t>
        </is>
      </c>
      <c r="C444" t="inlineStr">
        <is>
          <t>A7</t>
        </is>
      </c>
      <c r="D444" t="inlineStr">
        <is>
          <t>PARTIAL_SELL_ALLOWED</t>
        </is>
      </c>
    </row>
    <row r="445">
      <c r="A445" t="inlineStr">
        <is>
          <t>SELL_LIVE_PROFIT_GATED_V2_PARTIAL_RUNNER.xlsx</t>
        </is>
      </c>
      <c r="B445" t="inlineStr">
        <is>
          <t>SELL_PARTIAL_RUNNER</t>
        </is>
      </c>
      <c r="C445" t="inlineStr">
        <is>
          <t>A8</t>
        </is>
      </c>
      <c r="D445" t="inlineStr">
        <is>
          <t>RUNNER_SELL_ALLOWED</t>
        </is>
      </c>
    </row>
    <row r="446">
      <c r="A446" t="inlineStr">
        <is>
          <t>SELL_LIVE_PROFIT_GATED_V2_PARTIAL_RUNNER.xlsx</t>
        </is>
      </c>
      <c r="B446" t="inlineStr">
        <is>
          <t>SELL_PARTIAL_RUNNER</t>
        </is>
      </c>
      <c r="C446" t="inlineStr">
        <is>
          <t>B8</t>
        </is>
      </c>
      <c r="D446">
        <f>SELL_ALLOWED_FINAL</f>
        <v/>
      </c>
    </row>
    <row r="447">
      <c r="A447" t="inlineStr">
        <is>
          <t>SELL_LIVE_PROFIT_GATED.xlsx</t>
        </is>
      </c>
      <c r="B447" t="inlineStr">
        <is>
          <t>README</t>
        </is>
      </c>
      <c r="C447" t="inlineStr">
        <is>
          <t>B2</t>
        </is>
      </c>
      <c r="D447" t="inlineStr">
        <is>
          <t>DYZEN CAPITAL OS</t>
        </is>
      </c>
    </row>
    <row r="448">
      <c r="A448" t="inlineStr">
        <is>
          <t>SELL_LIVE_PROFIT_GATED.xlsx</t>
        </is>
      </c>
      <c r="B448" t="inlineStr">
        <is>
          <t>README</t>
        </is>
      </c>
      <c r="C448" t="inlineStr">
        <is>
          <t>B4</t>
        </is>
      </c>
      <c r="D448" t="inlineStr">
        <is>
          <t>Private Decision Engine for Capital, Risk &amp; Trading Intelligence</t>
        </is>
      </c>
    </row>
    <row r="449">
      <c r="A449" t="inlineStr">
        <is>
          <t>SELL_LIVE_PROFIT_GATED.xlsx</t>
        </is>
      </c>
      <c r="B449" t="inlineStr">
        <is>
          <t>README</t>
        </is>
      </c>
      <c r="C449" t="inlineStr">
        <is>
          <t>B7</t>
        </is>
      </c>
      <c r="D449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450">
      <c r="A450" t="inlineStr">
        <is>
          <t>SELL_LIVE_PROFIT_GATED.xlsx</t>
        </is>
      </c>
      <c r="B450" t="inlineStr">
        <is>
          <t>INPUTS</t>
        </is>
      </c>
      <c r="C450" t="inlineStr">
        <is>
          <t>A1</t>
        </is>
      </c>
      <c r="D450" t="inlineStr">
        <is>
          <t>Capital</t>
        </is>
      </c>
    </row>
    <row r="451">
      <c r="A451" t="inlineStr">
        <is>
          <t>SELL_LIVE_PROFIT_GATED.xlsx</t>
        </is>
      </c>
      <c r="B451" t="inlineStr">
        <is>
          <t>INPUTS</t>
        </is>
      </c>
      <c r="C451" t="inlineStr">
        <is>
          <t>B1</t>
        </is>
      </c>
      <c r="D451" t="inlineStr">
        <is>
          <t>Risk Appetite</t>
        </is>
      </c>
    </row>
    <row r="452">
      <c r="A452" t="inlineStr">
        <is>
          <t>SELL_LIVE_PROFIT_GATED.xlsx</t>
        </is>
      </c>
      <c r="B452" t="inlineStr">
        <is>
          <t>MARKET</t>
        </is>
      </c>
      <c r="C452" t="inlineStr">
        <is>
          <t>C1</t>
        </is>
      </c>
      <c r="D452" t="inlineStr">
        <is>
          <t>Regime Score</t>
        </is>
      </c>
    </row>
    <row r="453">
      <c r="A453" t="inlineStr">
        <is>
          <t>SELL_LIVE_PROFIT_GATED.xlsx</t>
        </is>
      </c>
      <c r="B453" t="inlineStr">
        <is>
          <t>MARKET</t>
        </is>
      </c>
      <c r="C453" t="inlineStr">
        <is>
          <t>D1</t>
        </is>
      </c>
      <c r="D453" t="inlineStr">
        <is>
          <t>Regime OK</t>
        </is>
      </c>
    </row>
    <row r="454">
      <c r="A454" t="inlineStr">
        <is>
          <t>SELL_LIVE_PROFIT_GATED.xlsx</t>
        </is>
      </c>
      <c r="B454" t="inlineStr">
        <is>
          <t>SETUP</t>
        </is>
      </c>
      <c r="C454" t="inlineStr">
        <is>
          <t>A6</t>
        </is>
      </c>
      <c r="D454" t="inlineStr">
        <is>
          <t>Risk : Reward Ratio</t>
        </is>
      </c>
    </row>
    <row r="455">
      <c r="A455" t="inlineStr">
        <is>
          <t>SELL_LIVE_PROFIT_GATED.xlsx</t>
        </is>
      </c>
      <c r="B455" t="inlineStr">
        <is>
          <t>SETUP</t>
        </is>
      </c>
      <c r="C455" t="inlineStr">
        <is>
          <t>A17</t>
        </is>
      </c>
      <c r="D455" t="inlineStr">
        <is>
          <t>Late Entry Risk</t>
        </is>
      </c>
    </row>
    <row r="456">
      <c r="A456" t="inlineStr">
        <is>
          <t>SELL_LIVE_PROFIT_GATED.xlsx</t>
        </is>
      </c>
      <c r="B456" t="inlineStr">
        <is>
          <t>PSYCHO</t>
        </is>
      </c>
      <c r="C456" t="inlineStr">
        <is>
          <t>A2</t>
        </is>
      </c>
      <c r="D456" t="inlineStr">
        <is>
          <t>Confidence Level (0–10)</t>
        </is>
      </c>
    </row>
    <row r="457">
      <c r="A457" t="inlineStr">
        <is>
          <t>SELL_LIVE_PROFIT_GATED.xlsx</t>
        </is>
      </c>
      <c r="B457" t="inlineStr">
        <is>
          <t>PSYCHO</t>
        </is>
      </c>
      <c r="C457" t="inlineStr">
        <is>
          <t>A9</t>
        </is>
      </c>
      <c r="D457" t="inlineStr">
        <is>
          <t>Overconfidence Risk (LOW/MED/HIGH)</t>
        </is>
      </c>
    </row>
    <row r="458">
      <c r="A458" t="inlineStr">
        <is>
          <t>SELL_LIVE_PROFIT_GATED.xlsx</t>
        </is>
      </c>
      <c r="B458" t="inlineStr">
        <is>
          <t>PSYCHO</t>
        </is>
      </c>
      <c r="C458" t="inlineStr">
        <is>
          <t>A11</t>
        </is>
      </c>
      <c r="D458" t="inlineStr">
        <is>
          <t>Revenge Trading Risk (YES/NO)</t>
        </is>
      </c>
    </row>
    <row r="459">
      <c r="A459" t="inlineStr">
        <is>
          <t>SELL_LIVE_PROFIT_GATED.xlsx</t>
        </is>
      </c>
      <c r="B459" t="inlineStr">
        <is>
          <t>PSYCHO</t>
        </is>
      </c>
      <c r="C459" t="inlineStr">
        <is>
          <t>A16</t>
        </is>
      </c>
      <c r="D459" t="inlineStr">
        <is>
          <t>Psychology Risk Flag</t>
        </is>
      </c>
    </row>
    <row r="460">
      <c r="A460" t="inlineStr">
        <is>
          <t>SELL_LIVE_PROFIT_GATED.xlsx</t>
        </is>
      </c>
      <c r="B460" t="inlineStr">
        <is>
          <t>PSYCHO</t>
        </is>
      </c>
      <c r="C460" t="inlineStr">
        <is>
          <t>A17</t>
        </is>
      </c>
      <c r="D460" t="inlineStr">
        <is>
          <t>Stability Threshold</t>
        </is>
      </c>
    </row>
    <row r="461">
      <c r="A461" t="inlineStr">
        <is>
          <t>SELL_LIVE_PROFIT_GATED.xlsx</t>
        </is>
      </c>
      <c r="B461" t="inlineStr">
        <is>
          <t>RISK_ENGINE</t>
        </is>
      </c>
      <c r="C461" t="inlineStr">
        <is>
          <t>A1</t>
        </is>
      </c>
      <c r="D461" t="inlineStr">
        <is>
          <t>ZONE A — CAPITAL INPUTS (INPUT)</t>
        </is>
      </c>
    </row>
    <row r="462">
      <c r="A462" t="inlineStr">
        <is>
          <t>SELL_LIVE_PROFIT_GATED.xlsx</t>
        </is>
      </c>
      <c r="B462" t="inlineStr">
        <is>
          <t>RISK_ENGINE</t>
        </is>
      </c>
      <c r="C462" t="inlineStr">
        <is>
          <t>A3</t>
        </is>
      </c>
      <c r="D462" t="inlineStr">
        <is>
          <t>Base Risk %</t>
        </is>
      </c>
    </row>
    <row r="463">
      <c r="A463" t="inlineStr">
        <is>
          <t>SELL_LIVE_PROFIT_GATED.xlsx</t>
        </is>
      </c>
      <c r="B463" t="inlineStr">
        <is>
          <t>RISK_ENGINE</t>
        </is>
      </c>
      <c r="C463" t="inlineStr">
        <is>
          <t>A4</t>
        </is>
      </c>
      <c r="D463" t="inlineStr">
        <is>
          <t>Max Risk % per Day</t>
        </is>
      </c>
    </row>
    <row r="464">
      <c r="A464" t="inlineStr">
        <is>
          <t>SELL_LIVE_PROFIT_GATED.xlsx</t>
        </is>
      </c>
      <c r="B464" t="inlineStr">
        <is>
          <t>RISK_ENGINE</t>
        </is>
      </c>
      <c r="C464" t="inlineStr">
        <is>
          <t>A5</t>
        </is>
      </c>
      <c r="D464" t="inlineStr">
        <is>
          <t>Max Risk % per Week</t>
        </is>
      </c>
    </row>
    <row r="465">
      <c r="A465" t="inlineStr">
        <is>
          <t>SELL_LIVE_PROFIT_GATED.xlsx</t>
        </is>
      </c>
      <c r="B465" t="inlineStr">
        <is>
          <t>RISK_ENGINE</t>
        </is>
      </c>
      <c r="C465" t="inlineStr">
        <is>
          <t>A6</t>
        </is>
      </c>
      <c r="D465" t="inlineStr">
        <is>
          <t>Risk Appetite (LOW/MED/HIGH)</t>
        </is>
      </c>
    </row>
    <row r="466">
      <c r="A466" t="inlineStr">
        <is>
          <t>SELL_LIVE_PROFIT_GATED.xlsx</t>
        </is>
      </c>
      <c r="B466" t="inlineStr">
        <is>
          <t>RISK_ENGINE</t>
        </is>
      </c>
      <c r="C466" t="inlineStr">
        <is>
          <t>A8</t>
        </is>
      </c>
      <c r="D466" t="inlineStr">
        <is>
          <t>ZONE B — PERFORMANCE &amp; DRAWDOWN STATES (DERIVED)</t>
        </is>
      </c>
    </row>
    <row r="467">
      <c r="A467" t="inlineStr">
        <is>
          <t>SELL_LIVE_PROFIT_GATED.xlsx</t>
        </is>
      </c>
      <c r="B467" t="inlineStr">
        <is>
          <t>RISK_ENGINE</t>
        </is>
      </c>
      <c r="C467" t="inlineStr">
        <is>
          <t>A11</t>
        </is>
      </c>
      <c r="D467" t="inlineStr">
        <is>
          <t>Peak-to-Trough Drawdown %</t>
        </is>
      </c>
    </row>
    <row r="468">
      <c r="A468" t="inlineStr">
        <is>
          <t>SELL_LIVE_PROFIT_GATED.xlsx</t>
        </is>
      </c>
      <c r="B468" t="inlineStr">
        <is>
          <t>RISK_ENGINE</t>
        </is>
      </c>
      <c r="C468" t="inlineStr">
        <is>
          <t>A15</t>
        </is>
      </c>
      <c r="D468" t="inlineStr">
        <is>
          <t>ZONE C — RISK GOVERNORS (LOGIC)</t>
        </is>
      </c>
    </row>
    <row r="469">
      <c r="A469" t="inlineStr">
        <is>
          <t>SELL_LIVE_PROFIT_GATED.xlsx</t>
        </is>
      </c>
      <c r="B469" t="inlineStr">
        <is>
          <t>RISK_ENGINE</t>
        </is>
      </c>
      <c r="C469" t="inlineStr">
        <is>
          <t>A16</t>
        </is>
      </c>
      <c r="D469" t="inlineStr">
        <is>
          <t>Drawdown State (NORMAL/WARNING/LOCKDOWN)</t>
        </is>
      </c>
    </row>
    <row r="470">
      <c r="A470" t="inlineStr">
        <is>
          <t>SELL_LIVE_PROFIT_GATED.xlsx</t>
        </is>
      </c>
      <c r="B470" t="inlineStr">
        <is>
          <t>RISK_ENGINE</t>
        </is>
      </c>
      <c r="C470" t="inlineStr">
        <is>
          <t>A17</t>
        </is>
      </c>
      <c r="D470" t="inlineStr">
        <is>
          <t>Risk Scaling Factor</t>
        </is>
      </c>
    </row>
    <row r="471">
      <c r="A471" t="inlineStr">
        <is>
          <t>SELL_LIVE_PROFIT_GATED.xlsx</t>
        </is>
      </c>
      <c r="B471" t="inlineStr">
        <is>
          <t>RISK_ENGINE</t>
        </is>
      </c>
      <c r="C471" t="inlineStr">
        <is>
          <t>A19</t>
        </is>
      </c>
      <c r="D471" t="inlineStr">
        <is>
          <t>Capital Survival Score (0–100)</t>
        </is>
      </c>
    </row>
    <row r="472">
      <c r="A472" t="inlineStr">
        <is>
          <t>SELL_LIVE_PROFIT_GATED.xlsx</t>
        </is>
      </c>
      <c r="B472" t="inlineStr">
        <is>
          <t>RISK_ENGINE</t>
        </is>
      </c>
      <c r="C472" t="inlineStr">
        <is>
          <t>A21</t>
        </is>
      </c>
      <c r="D472" t="inlineStr">
        <is>
          <t>ZONE D — RISK PERMISSION OUTPUT (DECISION)</t>
        </is>
      </c>
    </row>
    <row r="473">
      <c r="A473" t="inlineStr">
        <is>
          <t>SELL_LIVE_PROFIT_GATED.xlsx</t>
        </is>
      </c>
      <c r="B473" t="inlineStr">
        <is>
          <t>RISK_ENGINE</t>
        </is>
      </c>
      <c r="C473" t="inlineStr">
        <is>
          <t>A24</t>
        </is>
      </c>
      <c r="D473" t="inlineStr">
        <is>
          <t>Risk Block Reason</t>
        </is>
      </c>
    </row>
    <row r="474">
      <c r="A474" t="inlineStr">
        <is>
          <t>SELL_LIVE_PROFIT_GATED.xlsx</t>
        </is>
      </c>
      <c r="B474" t="inlineStr">
        <is>
          <t>SIGNAL_OUTBOX</t>
        </is>
      </c>
      <c r="C474" t="inlineStr">
        <is>
          <t>F2</t>
        </is>
      </c>
      <c r="D474" t="inlineStr">
        <is>
          <t>SELL</t>
        </is>
      </c>
    </row>
    <row r="475">
      <c r="A475" t="inlineStr">
        <is>
          <t>SELL_LIVE_PROFIT_GATED.xlsx</t>
        </is>
      </c>
      <c r="B475" t="inlineStr">
        <is>
          <t>SIGNAL_OUTBOX</t>
        </is>
      </c>
      <c r="C475" t="inlineStr">
        <is>
          <t>G2</t>
        </is>
      </c>
      <c r="D475">
        <f>SELL_PROFILE_FIXED!M2</f>
        <v/>
      </c>
    </row>
    <row r="476">
      <c r="A476" t="inlineStr">
        <is>
          <t>SELL_LIVE_PROFIT_GATED.xlsx</t>
        </is>
      </c>
      <c r="B476" t="inlineStr">
        <is>
          <t>SIGNAL_OUTBOX</t>
        </is>
      </c>
      <c r="C476" t="inlineStr">
        <is>
          <t>H2</t>
        </is>
      </c>
      <c r="D476">
        <f>SELL_PROFILE_FIXED!N2</f>
        <v/>
      </c>
    </row>
    <row r="477">
      <c r="A477" t="inlineStr">
        <is>
          <t>SELL_LIVE_PROFIT_GATED.xlsx</t>
        </is>
      </c>
      <c r="B477" t="inlineStr">
        <is>
          <t>SIGNAL_OUTBOX</t>
        </is>
      </c>
      <c r="C477" t="inlineStr">
        <is>
          <t>A4</t>
        </is>
      </c>
      <c r="D477" t="inlineStr">
        <is>
          <t>Verdict Confidence Level</t>
        </is>
      </c>
    </row>
    <row r="478">
      <c r="A478" t="inlineStr">
        <is>
          <t>SELL_LIVE_PROFIT_GATED.xlsx</t>
        </is>
      </c>
      <c r="B478" t="inlineStr">
        <is>
          <t>SIGNAL_OUTBOX</t>
        </is>
      </c>
      <c r="C478" t="inlineStr">
        <is>
          <t>A10</t>
        </is>
      </c>
      <c r="D478" t="inlineStr">
        <is>
          <t>Confidence Check</t>
        </is>
      </c>
    </row>
    <row r="479">
      <c r="A479" t="inlineStr">
        <is>
          <t>SELL_LIVE_PROFIT_GATED.xlsx</t>
        </is>
      </c>
      <c r="B479" t="inlineStr">
        <is>
          <t>JOURNAL</t>
        </is>
      </c>
      <c r="C479" t="inlineStr">
        <is>
          <t>C1</t>
        </is>
      </c>
      <c r="D479" t="inlineStr">
        <is>
          <t>Regime</t>
        </is>
      </c>
    </row>
    <row r="480">
      <c r="A480" t="inlineStr">
        <is>
          <t>SELL_LIVE_PROFIT_GATED.xlsx</t>
        </is>
      </c>
      <c r="B480" t="inlineStr">
        <is>
          <t>PERMISSION_BUS</t>
        </is>
      </c>
      <c r="C480" t="inlineStr">
        <is>
          <t>A2</t>
        </is>
      </c>
      <c r="D480" t="inlineStr">
        <is>
          <t>Market Regime OK</t>
        </is>
      </c>
    </row>
    <row r="481">
      <c r="A481" t="inlineStr">
        <is>
          <t>SELL_LIVE_PROFIT_GATED.xlsx</t>
        </is>
      </c>
      <c r="B481" t="inlineStr">
        <is>
          <t>PERMISSION_BUS</t>
        </is>
      </c>
      <c r="C481" t="inlineStr">
        <is>
          <t>A3</t>
        </is>
      </c>
      <c r="D481" t="inlineStr">
        <is>
          <t>Risk Engine OK</t>
        </is>
      </c>
    </row>
    <row r="482">
      <c r="A482" t="inlineStr">
        <is>
          <t>SELL_LIVE_PROFIT_GATED.xlsx</t>
        </is>
      </c>
      <c r="B482" t="inlineStr">
        <is>
          <t>PERMISSION_BUS</t>
        </is>
      </c>
      <c r="C482" t="inlineStr">
        <is>
          <t>A14</t>
        </is>
      </c>
      <c r="D482" t="inlineStr">
        <is>
          <t>Verdict Confidence Level</t>
        </is>
      </c>
    </row>
    <row r="483">
      <c r="A483" t="inlineStr">
        <is>
          <t>SELL_LIVE_PROFIT_GATED.xlsx</t>
        </is>
      </c>
      <c r="B483" t="inlineStr">
        <is>
          <t>SELL_PROFILE</t>
        </is>
      </c>
      <c r="C483" t="inlineStr">
        <is>
          <t>C1</t>
        </is>
      </c>
      <c r="D483" t="inlineStr">
        <is>
          <t>SELL_PROFILE</t>
        </is>
      </c>
    </row>
    <row r="484">
      <c r="A484" t="inlineStr">
        <is>
          <t>SELL_LIVE_PROFIT_GATED.xlsx</t>
        </is>
      </c>
      <c r="B484" t="inlineStr">
        <is>
          <t>SELL_PROFILE</t>
        </is>
      </c>
      <c r="C484" t="inlineStr">
        <is>
          <t>A2</t>
        </is>
      </c>
      <c r="D484" t="inlineStr">
        <is>
          <t>CONFIDENCE_MIN</t>
        </is>
      </c>
    </row>
    <row r="485">
      <c r="A485" t="inlineStr">
        <is>
          <t>SELL_LIVE_PROFIT_GATED.xlsx</t>
        </is>
      </c>
      <c r="B485" t="inlineStr">
        <is>
          <t>SELL_PROFILE</t>
        </is>
      </c>
      <c r="C485" t="inlineStr">
        <is>
          <t>D2</t>
        </is>
      </c>
      <c r="D485" t="inlineStr">
        <is>
          <t>SELL-ს ნაკლები სიზუსტე სჭირდება</t>
        </is>
      </c>
    </row>
    <row r="486">
      <c r="A486" t="inlineStr">
        <is>
          <t>SELL_LIVE_PROFIT_GATED.xlsx</t>
        </is>
      </c>
      <c r="B486" t="inlineStr">
        <is>
          <t>SELL_PROFILE</t>
        </is>
      </c>
      <c r="C486" t="inlineStr">
        <is>
          <t>D3</t>
        </is>
      </c>
      <c r="D486" t="inlineStr">
        <is>
          <t>SELL უფრო გვიანაც დაიშვება</t>
        </is>
      </c>
    </row>
    <row r="487">
      <c r="A487" t="inlineStr">
        <is>
          <t>SELL_LIVE_PROFIT_GATED.xlsx</t>
        </is>
      </c>
      <c r="B487" t="inlineStr">
        <is>
          <t>SELL_PROFILE</t>
        </is>
      </c>
      <c r="C487" t="inlineStr">
        <is>
          <t>D4</t>
        </is>
      </c>
      <c r="D487" t="inlineStr">
        <is>
          <t>SELL იღებს თხელ წიგნსაც</t>
        </is>
      </c>
    </row>
    <row r="488">
      <c r="A488" t="inlineStr">
        <is>
          <t>SELL_LIVE_PROFIT_GATED.xlsx</t>
        </is>
      </c>
      <c r="B488" t="inlineStr">
        <is>
          <t>SELL_PROFILE</t>
        </is>
      </c>
      <c r="C488" t="inlineStr">
        <is>
          <t>A5</t>
        </is>
      </c>
      <c r="D488" t="inlineStr">
        <is>
          <t>RISK_STRICTNESS</t>
        </is>
      </c>
    </row>
    <row r="489">
      <c r="A489" t="inlineStr">
        <is>
          <t>SELL_LIVE_PROFIT_GATED.xlsx</t>
        </is>
      </c>
      <c r="B489" t="inlineStr">
        <is>
          <t>SELL_PROFILE</t>
        </is>
      </c>
      <c r="C489" t="inlineStr">
        <is>
          <t>D5</t>
        </is>
      </c>
      <c r="D489" t="inlineStr">
        <is>
          <t>SELL = damage control</t>
        </is>
      </c>
    </row>
    <row r="490">
      <c r="A490" t="inlineStr">
        <is>
          <t>SELL_LIVE_PROFIT_GATED.xlsx</t>
        </is>
      </c>
      <c r="B490" t="inlineStr">
        <is>
          <t>SELL_PROFILE</t>
        </is>
      </c>
      <c r="C490" t="inlineStr">
        <is>
          <t>D6</t>
        </is>
      </c>
      <c r="D490" t="inlineStr">
        <is>
          <t>SELL არ ეძებს პიკს</t>
        </is>
      </c>
    </row>
    <row r="491">
      <c r="A491" t="inlineStr">
        <is>
          <t>SELL_LIVE_PROFIT_GATED.xlsx</t>
        </is>
      </c>
      <c r="B491" t="inlineStr">
        <is>
          <t>SELL_PROFILE</t>
        </is>
      </c>
      <c r="C491" t="inlineStr">
        <is>
          <t>A7</t>
        </is>
      </c>
      <c r="D491" t="inlineStr">
        <is>
          <t>URGENCY_WEIGHT</t>
        </is>
      </c>
    </row>
    <row r="492">
      <c r="A492" t="inlineStr">
        <is>
          <t>SELL_LIVE_PROFIT_GATED.xlsx</t>
        </is>
      </c>
      <c r="B492" t="inlineStr">
        <is>
          <t>SELL_PROFILE</t>
        </is>
      </c>
      <c r="C492" t="inlineStr">
        <is>
          <t>D7</t>
        </is>
      </c>
      <c r="D492" t="inlineStr">
        <is>
          <t>SELL რეაგირებს სწრაფად</t>
        </is>
      </c>
    </row>
    <row r="493">
      <c r="A493" t="inlineStr">
        <is>
          <t>SELL_LIVE_PROFIT_GATED.xlsx</t>
        </is>
      </c>
      <c r="B493" t="inlineStr">
        <is>
          <t>SELL_PROFILE_FIXED</t>
        </is>
      </c>
      <c r="C493" t="inlineStr">
        <is>
          <t>A1</t>
        </is>
      </c>
      <c r="D493" t="inlineStr">
        <is>
          <t>SELL_CONFIDENCE</t>
        </is>
      </c>
    </row>
    <row r="494">
      <c r="A494" t="inlineStr">
        <is>
          <t>SELL_LIVE_PROFIT_GATED.xlsx</t>
        </is>
      </c>
      <c r="B494" t="inlineStr">
        <is>
          <t>SELL_PROFILE_FIXED</t>
        </is>
      </c>
      <c r="C494" t="inlineStr">
        <is>
          <t>B1</t>
        </is>
      </c>
      <c r="D494" t="inlineStr">
        <is>
          <t>SELL_CONFIDENCE_OK</t>
        </is>
      </c>
    </row>
    <row r="495">
      <c r="A495" t="inlineStr">
        <is>
          <t>SELL_LIVE_PROFIT_GATED.xlsx</t>
        </is>
      </c>
      <c r="B495" t="inlineStr">
        <is>
          <t>SELL_PROFILE_FIXED</t>
        </is>
      </c>
      <c r="C495" t="inlineStr">
        <is>
          <t>D1</t>
        </is>
      </c>
      <c r="D495" t="inlineStr">
        <is>
          <t>SELL_RISK_STATE_OK</t>
        </is>
      </c>
    </row>
    <row r="496">
      <c r="A496" t="inlineStr">
        <is>
          <t>SELL_LIVE_PROFIT_GATED.xlsx</t>
        </is>
      </c>
      <c r="B496" t="inlineStr">
        <is>
          <t>SELL_PROFILE_FIXED</t>
        </is>
      </c>
      <c r="C496" t="inlineStr">
        <is>
          <t>E1</t>
        </is>
      </c>
      <c r="D496" t="inlineStr">
        <is>
          <t>SELL_STREAK_OK</t>
        </is>
      </c>
    </row>
    <row r="497">
      <c r="A497" t="inlineStr">
        <is>
          <t>SELL_LIVE_PROFIT_GATED.xlsx</t>
        </is>
      </c>
      <c r="B497" t="inlineStr">
        <is>
          <t>SELL_PROFILE_FIXED</t>
        </is>
      </c>
      <c r="C497" t="inlineStr">
        <is>
          <t>G1</t>
        </is>
      </c>
      <c r="D497" t="inlineStr">
        <is>
          <t>PARTIAL_SELL_PCT</t>
        </is>
      </c>
    </row>
    <row r="498">
      <c r="A498" t="inlineStr">
        <is>
          <t>SELL_LIVE_PROFIT_GATED.xlsx</t>
        </is>
      </c>
      <c r="B498" t="inlineStr">
        <is>
          <t>SELL_PROFILE_FIXED</t>
        </is>
      </c>
      <c r="C498" t="inlineStr">
        <is>
          <t>H1</t>
        </is>
      </c>
      <c r="D498" t="inlineStr">
        <is>
          <t>SELL_ALLOWED</t>
        </is>
      </c>
    </row>
    <row r="499">
      <c r="A499" t="inlineStr">
        <is>
          <t>SELL_LIVE_PROFIT_GATED.xlsx</t>
        </is>
      </c>
      <c r="B499" t="inlineStr">
        <is>
          <t>SELL_PROFILE_FIXED</t>
        </is>
      </c>
      <c r="C499" t="inlineStr">
        <is>
          <t>I1</t>
        </is>
      </c>
      <c r="D499" t="inlineStr">
        <is>
          <t>PRESELL_TRIGGER</t>
        </is>
      </c>
    </row>
    <row r="500">
      <c r="A500" t="inlineStr">
        <is>
          <t>SELL_LIVE_PROFIT_GATED.xlsx</t>
        </is>
      </c>
      <c r="B500" t="inlineStr">
        <is>
          <t>SELL_PROFILE_FIXED</t>
        </is>
      </c>
      <c r="C500" t="inlineStr">
        <is>
          <t>J1</t>
        </is>
      </c>
      <c r="D500" t="inlineStr">
        <is>
          <t>PRESELL_PCT</t>
        </is>
      </c>
    </row>
    <row r="501">
      <c r="A501" t="inlineStr">
        <is>
          <t>SELL_LIVE_PROFIT_GATED.xlsx</t>
        </is>
      </c>
      <c r="B501" t="inlineStr">
        <is>
          <t>SELL_PROFILE_FIXED</t>
        </is>
      </c>
      <c r="C501" t="inlineStr">
        <is>
          <t>L1</t>
        </is>
      </c>
      <c r="D501" t="inlineStr">
        <is>
          <t>EMERGENCY_SELL_PCT</t>
        </is>
      </c>
    </row>
    <row r="502">
      <c r="A502" t="inlineStr">
        <is>
          <t>SELL_LIVE_PROFIT_GATED.xlsx</t>
        </is>
      </c>
      <c r="B502" t="inlineStr">
        <is>
          <t>SELL_PROFILE_FIXED</t>
        </is>
      </c>
      <c r="C502" t="inlineStr">
        <is>
          <t>M1</t>
        </is>
      </c>
      <c r="D502" t="inlineStr">
        <is>
          <t>SELL_ACTION</t>
        </is>
      </c>
    </row>
    <row r="503">
      <c r="A503" t="inlineStr">
        <is>
          <t>SELL_LIVE_PROFIT_GATED.xlsx</t>
        </is>
      </c>
      <c r="B503" t="inlineStr">
        <is>
          <t>SELL_PROFILE_FIXED</t>
        </is>
      </c>
      <c r="C503" t="inlineStr">
        <is>
          <t>N1</t>
        </is>
      </c>
      <c r="D503" t="inlineStr">
        <is>
          <t>SELL_PCT_FINAL</t>
        </is>
      </c>
    </row>
    <row r="504">
      <c r="A504" t="inlineStr">
        <is>
          <t>SELL_LIVE_PROFIT_GATED.xlsx</t>
        </is>
      </c>
      <c r="B504" t="inlineStr">
        <is>
          <t>SELL_PROFILE_FIXED</t>
        </is>
      </c>
      <c r="C504" t="inlineStr">
        <is>
          <t>P1</t>
        </is>
      </c>
      <c r="D504" t="inlineStr">
        <is>
          <t>SELL_FEE_PCT</t>
        </is>
      </c>
    </row>
    <row r="505">
      <c r="A505" t="inlineStr">
        <is>
          <t>SELL_LIVE_PROFIT_GATED.xlsx</t>
        </is>
      </c>
      <c r="B505" t="inlineStr">
        <is>
          <t>SELL_PROFILE_FIXED</t>
        </is>
      </c>
      <c r="C505" t="inlineStr">
        <is>
          <t>U1</t>
        </is>
      </c>
      <c r="D505" t="inlineStr">
        <is>
          <t>SELL_ALLOWED_FINAL</t>
        </is>
      </c>
    </row>
    <row r="506">
      <c r="A506" t="inlineStr">
        <is>
          <t>SELL_LIVE_PROFIT_GATED.xlsx</t>
        </is>
      </c>
      <c r="B506" t="inlineStr">
        <is>
          <t>SELL_PROFILE_FIXED</t>
        </is>
      </c>
      <c r="C506" t="inlineStr">
        <is>
          <t>A2</t>
        </is>
      </c>
      <c r="D506">
        <f>SELL_PROFILE!B2</f>
        <v/>
      </c>
    </row>
    <row r="507">
      <c r="A507" t="inlineStr">
        <is>
          <t>SELL_LIVE_PROFIT_GATED.xlsx</t>
        </is>
      </c>
      <c r="B507" t="inlineStr">
        <is>
          <t>SELL_PROFILE_FIXED</t>
        </is>
      </c>
      <c r="C507" t="inlineStr">
        <is>
          <t>D2</t>
        </is>
      </c>
      <c r="D507">
        <f>RISK_ENGINE!B2="OK"</f>
        <v/>
      </c>
    </row>
    <row r="508">
      <c r="A508" t="inlineStr">
        <is>
          <t>SELL_LIVE_PROFIT_GATED.xlsx</t>
        </is>
      </c>
      <c r="B508" t="inlineStr">
        <is>
          <t>SELL_PROFILE_FIXED</t>
        </is>
      </c>
      <c r="C508" t="inlineStr">
        <is>
          <t>G2</t>
        </is>
      </c>
      <c r="D508">
        <f>IF(SELL_ALLOWED,0.3,0)</f>
        <v/>
      </c>
    </row>
    <row r="509">
      <c r="A509" t="inlineStr">
        <is>
          <t>SELL_LIVE_PROFIT_GATED.xlsx</t>
        </is>
      </c>
      <c r="B509" t="inlineStr">
        <is>
          <t>SELL_PROFILE_FIXED</t>
        </is>
      </c>
      <c r="C509" t="inlineStr">
        <is>
          <t>K2</t>
        </is>
      </c>
      <c r="D509">
        <f>AND(RISK_ENGINE!B2="ALERT",MARKET!B2="VOL_SPIKE")</f>
        <v/>
      </c>
    </row>
    <row r="510">
      <c r="A510" t="inlineStr">
        <is>
          <t>SELL_LIVE_FIXED.xlsx</t>
        </is>
      </c>
      <c r="B510" t="inlineStr">
        <is>
          <t>README</t>
        </is>
      </c>
      <c r="C510" t="inlineStr">
        <is>
          <t>B2</t>
        </is>
      </c>
      <c r="D510" t="inlineStr">
        <is>
          <t>DYZEN CAPITAL OS</t>
        </is>
      </c>
    </row>
    <row r="511">
      <c r="A511" t="inlineStr">
        <is>
          <t>SELL_LIVE_FIXED.xlsx</t>
        </is>
      </c>
      <c r="B511" t="inlineStr">
        <is>
          <t>README</t>
        </is>
      </c>
      <c r="C511" t="inlineStr">
        <is>
          <t>B4</t>
        </is>
      </c>
      <c r="D511" t="inlineStr">
        <is>
          <t>Private Decision Engine for Capital, Risk &amp; Trading Intelligence</t>
        </is>
      </c>
    </row>
    <row r="512">
      <c r="A512" t="inlineStr">
        <is>
          <t>SELL_LIVE_FIXED.xlsx</t>
        </is>
      </c>
      <c r="B512" t="inlineStr">
        <is>
          <t>README</t>
        </is>
      </c>
      <c r="C512" t="inlineStr">
        <is>
          <t>B7</t>
        </is>
      </c>
      <c r="D51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13">
      <c r="A513" t="inlineStr">
        <is>
          <t>SELL_LIVE_FIXED.xlsx</t>
        </is>
      </c>
      <c r="B513" t="inlineStr">
        <is>
          <t>INPUTS</t>
        </is>
      </c>
      <c r="C513" t="inlineStr">
        <is>
          <t>A1</t>
        </is>
      </c>
      <c r="D513" t="inlineStr">
        <is>
          <t>Capital</t>
        </is>
      </c>
    </row>
    <row r="514">
      <c r="A514" t="inlineStr">
        <is>
          <t>SELL_LIVE_FIXED.xlsx</t>
        </is>
      </c>
      <c r="B514" t="inlineStr">
        <is>
          <t>INPUTS</t>
        </is>
      </c>
      <c r="C514" t="inlineStr">
        <is>
          <t>B1</t>
        </is>
      </c>
      <c r="D514" t="inlineStr">
        <is>
          <t>Risk Appetite</t>
        </is>
      </c>
    </row>
    <row r="515">
      <c r="A515" t="inlineStr">
        <is>
          <t>SELL_LIVE_FIXED.xlsx</t>
        </is>
      </c>
      <c r="B515" t="inlineStr">
        <is>
          <t>MARKET</t>
        </is>
      </c>
      <c r="C515" t="inlineStr">
        <is>
          <t>C1</t>
        </is>
      </c>
      <c r="D515" t="inlineStr">
        <is>
          <t>Regime Score</t>
        </is>
      </c>
    </row>
    <row r="516">
      <c r="A516" t="inlineStr">
        <is>
          <t>SELL_LIVE_FIXED.xlsx</t>
        </is>
      </c>
      <c r="B516" t="inlineStr">
        <is>
          <t>MARKET</t>
        </is>
      </c>
      <c r="C516" t="inlineStr">
        <is>
          <t>D1</t>
        </is>
      </c>
      <c r="D516" t="inlineStr">
        <is>
          <t>Regime OK</t>
        </is>
      </c>
    </row>
    <row r="517">
      <c r="A517" t="inlineStr">
        <is>
          <t>SELL_LIVE_FIXED.xlsx</t>
        </is>
      </c>
      <c r="B517" t="inlineStr">
        <is>
          <t>SETUP</t>
        </is>
      </c>
      <c r="C517" t="inlineStr">
        <is>
          <t>A6</t>
        </is>
      </c>
      <c r="D517" t="inlineStr">
        <is>
          <t>Risk : Reward Ratio</t>
        </is>
      </c>
    </row>
    <row r="518">
      <c r="A518" t="inlineStr">
        <is>
          <t>SELL_LIVE_FIXED.xlsx</t>
        </is>
      </c>
      <c r="B518" t="inlineStr">
        <is>
          <t>SETUP</t>
        </is>
      </c>
      <c r="C518" t="inlineStr">
        <is>
          <t>A17</t>
        </is>
      </c>
      <c r="D518" t="inlineStr">
        <is>
          <t>Late Entry Risk</t>
        </is>
      </c>
    </row>
    <row r="519">
      <c r="A519" t="inlineStr">
        <is>
          <t>SELL_LIVE_FIXED.xlsx</t>
        </is>
      </c>
      <c r="B519" t="inlineStr">
        <is>
          <t>PSYCHO</t>
        </is>
      </c>
      <c r="C519" t="inlineStr">
        <is>
          <t>A2</t>
        </is>
      </c>
      <c r="D519" t="inlineStr">
        <is>
          <t>Confidence Level (0–10)</t>
        </is>
      </c>
    </row>
    <row r="520">
      <c r="A520" t="inlineStr">
        <is>
          <t>SELL_LIVE_FIXED.xlsx</t>
        </is>
      </c>
      <c r="B520" t="inlineStr">
        <is>
          <t>PSYCHO</t>
        </is>
      </c>
      <c r="C520" t="inlineStr">
        <is>
          <t>A9</t>
        </is>
      </c>
      <c r="D520" t="inlineStr">
        <is>
          <t>Overconfidence Risk (LOW/MED/HIGH)</t>
        </is>
      </c>
    </row>
    <row r="521">
      <c r="A521" t="inlineStr">
        <is>
          <t>SELL_LIVE_FIXED.xlsx</t>
        </is>
      </c>
      <c r="B521" t="inlineStr">
        <is>
          <t>PSYCHO</t>
        </is>
      </c>
      <c r="C521" t="inlineStr">
        <is>
          <t>A11</t>
        </is>
      </c>
      <c r="D521" t="inlineStr">
        <is>
          <t>Revenge Trading Risk (YES/NO)</t>
        </is>
      </c>
    </row>
    <row r="522">
      <c r="A522" t="inlineStr">
        <is>
          <t>SELL_LIVE_FIXED.xlsx</t>
        </is>
      </c>
      <c r="B522" t="inlineStr">
        <is>
          <t>PSYCHO</t>
        </is>
      </c>
      <c r="C522" t="inlineStr">
        <is>
          <t>A16</t>
        </is>
      </c>
      <c r="D522" t="inlineStr">
        <is>
          <t>Psychology Risk Flag</t>
        </is>
      </c>
    </row>
    <row r="523">
      <c r="A523" t="inlineStr">
        <is>
          <t>SELL_LIVE_FIXED.xlsx</t>
        </is>
      </c>
      <c r="B523" t="inlineStr">
        <is>
          <t>PSYCHO</t>
        </is>
      </c>
      <c r="C523" t="inlineStr">
        <is>
          <t>A17</t>
        </is>
      </c>
      <c r="D523" t="inlineStr">
        <is>
          <t>Stability Threshold</t>
        </is>
      </c>
    </row>
    <row r="524">
      <c r="A524" t="inlineStr">
        <is>
          <t>SELL_LIVE_FIXED.xlsx</t>
        </is>
      </c>
      <c r="B524" t="inlineStr">
        <is>
          <t>RISK_ENGINE</t>
        </is>
      </c>
      <c r="C524" t="inlineStr">
        <is>
          <t>A1</t>
        </is>
      </c>
      <c r="D524" t="inlineStr">
        <is>
          <t>ZONE A — CAPITAL INPUTS (INPUT)</t>
        </is>
      </c>
    </row>
    <row r="525">
      <c r="A525" t="inlineStr">
        <is>
          <t>SELL_LIVE_FIXED.xlsx</t>
        </is>
      </c>
      <c r="B525" t="inlineStr">
        <is>
          <t>RISK_ENGINE</t>
        </is>
      </c>
      <c r="C525" t="inlineStr">
        <is>
          <t>A3</t>
        </is>
      </c>
      <c r="D525" t="inlineStr">
        <is>
          <t>Base Risk %</t>
        </is>
      </c>
    </row>
    <row r="526">
      <c r="A526" t="inlineStr">
        <is>
          <t>SELL_LIVE_FIXED.xlsx</t>
        </is>
      </c>
      <c r="B526" t="inlineStr">
        <is>
          <t>RISK_ENGINE</t>
        </is>
      </c>
      <c r="C526" t="inlineStr">
        <is>
          <t>A4</t>
        </is>
      </c>
      <c r="D526" t="inlineStr">
        <is>
          <t>Max Risk % per Day</t>
        </is>
      </c>
    </row>
    <row r="527">
      <c r="A527" t="inlineStr">
        <is>
          <t>SELL_LIVE_FIXED.xlsx</t>
        </is>
      </c>
      <c r="B527" t="inlineStr">
        <is>
          <t>RISK_ENGINE</t>
        </is>
      </c>
      <c r="C527" t="inlineStr">
        <is>
          <t>A5</t>
        </is>
      </c>
      <c r="D527" t="inlineStr">
        <is>
          <t>Max Risk % per Week</t>
        </is>
      </c>
    </row>
    <row r="528">
      <c r="A528" t="inlineStr">
        <is>
          <t>SELL_LIVE_FIXED.xlsx</t>
        </is>
      </c>
      <c r="B528" t="inlineStr">
        <is>
          <t>RISK_ENGINE</t>
        </is>
      </c>
      <c r="C528" t="inlineStr">
        <is>
          <t>A6</t>
        </is>
      </c>
      <c r="D528" t="inlineStr">
        <is>
          <t>Risk Appetite (LOW/MED/HIGH)</t>
        </is>
      </c>
    </row>
    <row r="529">
      <c r="A529" t="inlineStr">
        <is>
          <t>SELL_LIVE_FIXED.xlsx</t>
        </is>
      </c>
      <c r="B529" t="inlineStr">
        <is>
          <t>RISK_ENGINE</t>
        </is>
      </c>
      <c r="C529" t="inlineStr">
        <is>
          <t>A8</t>
        </is>
      </c>
      <c r="D529" t="inlineStr">
        <is>
          <t>ZONE B — PERFORMANCE &amp; DRAWDOWN STATES (DERIVED)</t>
        </is>
      </c>
    </row>
    <row r="530">
      <c r="A530" t="inlineStr">
        <is>
          <t>SELL_LIVE_FIXED.xlsx</t>
        </is>
      </c>
      <c r="B530" t="inlineStr">
        <is>
          <t>RISK_ENGINE</t>
        </is>
      </c>
      <c r="C530" t="inlineStr">
        <is>
          <t>A11</t>
        </is>
      </c>
      <c r="D530" t="inlineStr">
        <is>
          <t>Peak-to-Trough Drawdown %</t>
        </is>
      </c>
    </row>
    <row r="531">
      <c r="A531" t="inlineStr">
        <is>
          <t>SELL_LIVE_FIXED.xlsx</t>
        </is>
      </c>
      <c r="B531" t="inlineStr">
        <is>
          <t>RISK_ENGINE</t>
        </is>
      </c>
      <c r="C531" t="inlineStr">
        <is>
          <t>A15</t>
        </is>
      </c>
      <c r="D531" t="inlineStr">
        <is>
          <t>ZONE C — RISK GOVERNORS (LOGIC)</t>
        </is>
      </c>
    </row>
    <row r="532">
      <c r="A532" t="inlineStr">
        <is>
          <t>SELL_LIVE_FIXED.xlsx</t>
        </is>
      </c>
      <c r="B532" t="inlineStr">
        <is>
          <t>RISK_ENGINE</t>
        </is>
      </c>
      <c r="C532" t="inlineStr">
        <is>
          <t>A16</t>
        </is>
      </c>
      <c r="D532" t="inlineStr">
        <is>
          <t>Drawdown State (NORMAL/WARNING/LOCKDOWN)</t>
        </is>
      </c>
    </row>
    <row r="533">
      <c r="A533" t="inlineStr">
        <is>
          <t>SELL_LIVE_FIXED.xlsx</t>
        </is>
      </c>
      <c r="B533" t="inlineStr">
        <is>
          <t>RISK_ENGINE</t>
        </is>
      </c>
      <c r="C533" t="inlineStr">
        <is>
          <t>A17</t>
        </is>
      </c>
      <c r="D533" t="inlineStr">
        <is>
          <t>Risk Scaling Factor</t>
        </is>
      </c>
    </row>
    <row r="534">
      <c r="A534" t="inlineStr">
        <is>
          <t>SELL_LIVE_FIXED.xlsx</t>
        </is>
      </c>
      <c r="B534" t="inlineStr">
        <is>
          <t>RISK_ENGINE</t>
        </is>
      </c>
      <c r="C534" t="inlineStr">
        <is>
          <t>A19</t>
        </is>
      </c>
      <c r="D534" t="inlineStr">
        <is>
          <t>Capital Survival Score (0–100)</t>
        </is>
      </c>
    </row>
    <row r="535">
      <c r="A535" t="inlineStr">
        <is>
          <t>SELL_LIVE_FIXED.xlsx</t>
        </is>
      </c>
      <c r="B535" t="inlineStr">
        <is>
          <t>RISK_ENGINE</t>
        </is>
      </c>
      <c r="C535" t="inlineStr">
        <is>
          <t>A21</t>
        </is>
      </c>
      <c r="D535" t="inlineStr">
        <is>
          <t>ZONE D — RISK PERMISSION OUTPUT (DECISION)</t>
        </is>
      </c>
    </row>
    <row r="536">
      <c r="A536" t="inlineStr">
        <is>
          <t>SELL_LIVE_FIXED.xlsx</t>
        </is>
      </c>
      <c r="B536" t="inlineStr">
        <is>
          <t>RISK_ENGINE</t>
        </is>
      </c>
      <c r="C536" t="inlineStr">
        <is>
          <t>A24</t>
        </is>
      </c>
      <c r="D536" t="inlineStr">
        <is>
          <t>Risk Block Reason</t>
        </is>
      </c>
    </row>
    <row r="537">
      <c r="A537" t="inlineStr">
        <is>
          <t>SELL_LIVE_FIXED.xlsx</t>
        </is>
      </c>
      <c r="B537" t="inlineStr">
        <is>
          <t>SIGNAL_OUTBOX</t>
        </is>
      </c>
      <c r="C537" t="inlineStr">
        <is>
          <t>F2</t>
        </is>
      </c>
      <c r="D537" t="inlineStr">
        <is>
          <t>SELL</t>
        </is>
      </c>
    </row>
    <row r="538">
      <c r="A538" t="inlineStr">
        <is>
          <t>SELL_LIVE_FIXED.xlsx</t>
        </is>
      </c>
      <c r="B538" t="inlineStr">
        <is>
          <t>SIGNAL_OUTBOX</t>
        </is>
      </c>
      <c r="C538" t="inlineStr">
        <is>
          <t>G2</t>
        </is>
      </c>
      <c r="D538">
        <f>SELL_PROFILE_FIXED!M2</f>
        <v/>
      </c>
    </row>
    <row r="539">
      <c r="A539" t="inlineStr">
        <is>
          <t>SELL_LIVE_FIXED.xlsx</t>
        </is>
      </c>
      <c r="B539" t="inlineStr">
        <is>
          <t>SIGNAL_OUTBOX</t>
        </is>
      </c>
      <c r="C539" t="inlineStr">
        <is>
          <t>H2</t>
        </is>
      </c>
      <c r="D539">
        <f>SELL_PROFILE_FIXED!N2</f>
        <v/>
      </c>
    </row>
    <row r="540">
      <c r="A540" t="inlineStr">
        <is>
          <t>SELL_LIVE_FIXED.xlsx</t>
        </is>
      </c>
      <c r="B540" t="inlineStr">
        <is>
          <t>SIGNAL_OUTBOX</t>
        </is>
      </c>
      <c r="C540" t="inlineStr">
        <is>
          <t>A4</t>
        </is>
      </c>
      <c r="D540" t="inlineStr">
        <is>
          <t>Verdict Confidence Level</t>
        </is>
      </c>
    </row>
    <row r="541">
      <c r="A541" t="inlineStr">
        <is>
          <t>SELL_LIVE_FIXED.xlsx</t>
        </is>
      </c>
      <c r="B541" t="inlineStr">
        <is>
          <t>SIGNAL_OUTBOX</t>
        </is>
      </c>
      <c r="C541" t="inlineStr">
        <is>
          <t>A10</t>
        </is>
      </c>
      <c r="D541" t="inlineStr">
        <is>
          <t>Confidence Check</t>
        </is>
      </c>
    </row>
    <row r="542">
      <c r="A542" t="inlineStr">
        <is>
          <t>SELL_LIVE_FIXED.xlsx</t>
        </is>
      </c>
      <c r="B542" t="inlineStr">
        <is>
          <t>JOURNAL</t>
        </is>
      </c>
      <c r="C542" t="inlineStr">
        <is>
          <t>C1</t>
        </is>
      </c>
      <c r="D542" t="inlineStr">
        <is>
          <t>Regime</t>
        </is>
      </c>
    </row>
    <row r="543">
      <c r="A543" t="inlineStr">
        <is>
          <t>SELL_LIVE_FIXED.xlsx</t>
        </is>
      </c>
      <c r="B543" t="inlineStr">
        <is>
          <t>PERMISSION_BUS</t>
        </is>
      </c>
      <c r="C543" t="inlineStr">
        <is>
          <t>A2</t>
        </is>
      </c>
      <c r="D543" t="inlineStr">
        <is>
          <t>Market Regime OK</t>
        </is>
      </c>
    </row>
    <row r="544">
      <c r="A544" t="inlineStr">
        <is>
          <t>SELL_LIVE_FIXED.xlsx</t>
        </is>
      </c>
      <c r="B544" t="inlineStr">
        <is>
          <t>PERMISSION_BUS</t>
        </is>
      </c>
      <c r="C544" t="inlineStr">
        <is>
          <t>A3</t>
        </is>
      </c>
      <c r="D544" t="inlineStr">
        <is>
          <t>Risk Engine OK</t>
        </is>
      </c>
    </row>
    <row r="545">
      <c r="A545" t="inlineStr">
        <is>
          <t>SELL_LIVE_FIXED.xlsx</t>
        </is>
      </c>
      <c r="B545" t="inlineStr">
        <is>
          <t>PERMISSION_BUS</t>
        </is>
      </c>
      <c r="C545" t="inlineStr">
        <is>
          <t>A14</t>
        </is>
      </c>
      <c r="D545" t="inlineStr">
        <is>
          <t>Verdict Confidence Level</t>
        </is>
      </c>
    </row>
    <row r="546">
      <c r="A546" t="inlineStr">
        <is>
          <t>SELL_LIVE_FIXED.xlsx</t>
        </is>
      </c>
      <c r="B546" t="inlineStr">
        <is>
          <t>SELL_PROFILE</t>
        </is>
      </c>
      <c r="C546" t="inlineStr">
        <is>
          <t>C1</t>
        </is>
      </c>
      <c r="D546" t="inlineStr">
        <is>
          <t>SELL_PROFILE</t>
        </is>
      </c>
    </row>
    <row r="547">
      <c r="A547" t="inlineStr">
        <is>
          <t>SELL_LIVE_FIXED.xlsx</t>
        </is>
      </c>
      <c r="B547" t="inlineStr">
        <is>
          <t>SELL_PROFILE</t>
        </is>
      </c>
      <c r="C547" t="inlineStr">
        <is>
          <t>A2</t>
        </is>
      </c>
      <c r="D547" t="inlineStr">
        <is>
          <t>CONFIDENCE_MIN</t>
        </is>
      </c>
    </row>
    <row r="548">
      <c r="A548" t="inlineStr">
        <is>
          <t>SELL_LIVE_FIXED.xlsx</t>
        </is>
      </c>
      <c r="B548" t="inlineStr">
        <is>
          <t>SELL_PROFILE</t>
        </is>
      </c>
      <c r="C548" t="inlineStr">
        <is>
          <t>D2</t>
        </is>
      </c>
      <c r="D548" t="inlineStr">
        <is>
          <t>SELL-ს ნაკლები სიზუსტე სჭირდება</t>
        </is>
      </c>
    </row>
    <row r="549">
      <c r="A549" t="inlineStr">
        <is>
          <t>SELL_LIVE_FIXED.xlsx</t>
        </is>
      </c>
      <c r="B549" t="inlineStr">
        <is>
          <t>SELL_PROFILE</t>
        </is>
      </c>
      <c r="C549" t="inlineStr">
        <is>
          <t>D3</t>
        </is>
      </c>
      <c r="D549" t="inlineStr">
        <is>
          <t>SELL უფრო გვიანაც დაიშვება</t>
        </is>
      </c>
    </row>
    <row r="550">
      <c r="A550" t="inlineStr">
        <is>
          <t>SELL_LIVE_FIXED.xlsx</t>
        </is>
      </c>
      <c r="B550" t="inlineStr">
        <is>
          <t>SELL_PROFILE</t>
        </is>
      </c>
      <c r="C550" t="inlineStr">
        <is>
          <t>D4</t>
        </is>
      </c>
      <c r="D550" t="inlineStr">
        <is>
          <t>SELL იღებს თხელ წიგნსაც</t>
        </is>
      </c>
    </row>
    <row r="551">
      <c r="A551" t="inlineStr">
        <is>
          <t>SELL_LIVE_FIXED.xlsx</t>
        </is>
      </c>
      <c r="B551" t="inlineStr">
        <is>
          <t>SELL_PROFILE</t>
        </is>
      </c>
      <c r="C551" t="inlineStr">
        <is>
          <t>A5</t>
        </is>
      </c>
      <c r="D551" t="inlineStr">
        <is>
          <t>RISK_STRICTNESS</t>
        </is>
      </c>
    </row>
    <row r="552">
      <c r="A552" t="inlineStr">
        <is>
          <t>SELL_LIVE_FIXED.xlsx</t>
        </is>
      </c>
      <c r="B552" t="inlineStr">
        <is>
          <t>SELL_PROFILE</t>
        </is>
      </c>
      <c r="C552" t="inlineStr">
        <is>
          <t>D5</t>
        </is>
      </c>
      <c r="D552" t="inlineStr">
        <is>
          <t>SELL = damage control</t>
        </is>
      </c>
    </row>
    <row r="553">
      <c r="A553" t="inlineStr">
        <is>
          <t>SELL_LIVE_FIXED.xlsx</t>
        </is>
      </c>
      <c r="B553" t="inlineStr">
        <is>
          <t>SELL_PROFILE</t>
        </is>
      </c>
      <c r="C553" t="inlineStr">
        <is>
          <t>D6</t>
        </is>
      </c>
      <c r="D553" t="inlineStr">
        <is>
          <t>SELL არ ეძებს პიკს</t>
        </is>
      </c>
    </row>
    <row r="554">
      <c r="A554" t="inlineStr">
        <is>
          <t>SELL_LIVE_FIXED.xlsx</t>
        </is>
      </c>
      <c r="B554" t="inlineStr">
        <is>
          <t>SELL_PROFILE</t>
        </is>
      </c>
      <c r="C554" t="inlineStr">
        <is>
          <t>A7</t>
        </is>
      </c>
      <c r="D554" t="inlineStr">
        <is>
          <t>URGENCY_WEIGHT</t>
        </is>
      </c>
    </row>
    <row r="555">
      <c r="A555" t="inlineStr">
        <is>
          <t>SELL_LIVE_FIXED.xlsx</t>
        </is>
      </c>
      <c r="B555" t="inlineStr">
        <is>
          <t>SELL_PROFILE</t>
        </is>
      </c>
      <c r="C555" t="inlineStr">
        <is>
          <t>D7</t>
        </is>
      </c>
      <c r="D555" t="inlineStr">
        <is>
          <t>SELL რეაგირებს სწრაფად</t>
        </is>
      </c>
    </row>
    <row r="556">
      <c r="A556" t="inlineStr">
        <is>
          <t>SELL_LIVE_FIXED.xlsx</t>
        </is>
      </c>
      <c r="B556" t="inlineStr">
        <is>
          <t>SELL_PROFILE_FIXED</t>
        </is>
      </c>
      <c r="C556" t="inlineStr">
        <is>
          <t>A1</t>
        </is>
      </c>
      <c r="D556" t="inlineStr">
        <is>
          <t>SELL_CONFIDENCE</t>
        </is>
      </c>
    </row>
    <row r="557">
      <c r="A557" t="inlineStr">
        <is>
          <t>SELL_LIVE_FIXED.xlsx</t>
        </is>
      </c>
      <c r="B557" t="inlineStr">
        <is>
          <t>SELL_PROFILE_FIXED</t>
        </is>
      </c>
      <c r="C557" t="inlineStr">
        <is>
          <t>B1</t>
        </is>
      </c>
      <c r="D557" t="inlineStr">
        <is>
          <t>SELL_CONFIDENCE_OK</t>
        </is>
      </c>
    </row>
    <row r="558">
      <c r="A558" t="inlineStr">
        <is>
          <t>SELL_LIVE_FIXED.xlsx</t>
        </is>
      </c>
      <c r="B558" t="inlineStr">
        <is>
          <t>SELL_PROFILE_FIXED</t>
        </is>
      </c>
      <c r="C558" t="inlineStr">
        <is>
          <t>D1</t>
        </is>
      </c>
      <c r="D558" t="inlineStr">
        <is>
          <t>SELL_RISK_STATE_OK</t>
        </is>
      </c>
    </row>
    <row r="559">
      <c r="A559" t="inlineStr">
        <is>
          <t>SELL_LIVE_FIXED.xlsx</t>
        </is>
      </c>
      <c r="B559" t="inlineStr">
        <is>
          <t>SELL_PROFILE_FIXED</t>
        </is>
      </c>
      <c r="C559" t="inlineStr">
        <is>
          <t>E1</t>
        </is>
      </c>
      <c r="D559" t="inlineStr">
        <is>
          <t>SELL_STREAK_OK</t>
        </is>
      </c>
    </row>
    <row r="560">
      <c r="A560" t="inlineStr">
        <is>
          <t>SELL_LIVE_FIXED.xlsx</t>
        </is>
      </c>
      <c r="B560" t="inlineStr">
        <is>
          <t>SELL_PROFILE_FIXED</t>
        </is>
      </c>
      <c r="C560" t="inlineStr">
        <is>
          <t>G1</t>
        </is>
      </c>
      <c r="D560" t="inlineStr">
        <is>
          <t>PARTIAL_SELL_PCT</t>
        </is>
      </c>
    </row>
    <row r="561">
      <c r="A561" t="inlineStr">
        <is>
          <t>SELL_LIVE_FIXED.xlsx</t>
        </is>
      </c>
      <c r="B561" t="inlineStr">
        <is>
          <t>SELL_PROFILE_FIXED</t>
        </is>
      </c>
      <c r="C561" t="inlineStr">
        <is>
          <t>H1</t>
        </is>
      </c>
      <c r="D561" t="inlineStr">
        <is>
          <t>SELL_ALLOWED</t>
        </is>
      </c>
    </row>
    <row r="562">
      <c r="A562" t="inlineStr">
        <is>
          <t>SELL_LIVE_FIXED.xlsx</t>
        </is>
      </c>
      <c r="B562" t="inlineStr">
        <is>
          <t>SELL_PROFILE_FIXED</t>
        </is>
      </c>
      <c r="C562" t="inlineStr">
        <is>
          <t>I1</t>
        </is>
      </c>
      <c r="D562" t="inlineStr">
        <is>
          <t>PRESELL_TRIGGER</t>
        </is>
      </c>
    </row>
    <row r="563">
      <c r="A563" t="inlineStr">
        <is>
          <t>SELL_LIVE_FIXED.xlsx</t>
        </is>
      </c>
      <c r="B563" t="inlineStr">
        <is>
          <t>SELL_PROFILE_FIXED</t>
        </is>
      </c>
      <c r="C563" t="inlineStr">
        <is>
          <t>J1</t>
        </is>
      </c>
      <c r="D563" t="inlineStr">
        <is>
          <t>PRESELL_PCT</t>
        </is>
      </c>
    </row>
    <row r="564">
      <c r="A564" t="inlineStr">
        <is>
          <t>SELL_LIVE_FIXED.xlsx</t>
        </is>
      </c>
      <c r="B564" t="inlineStr">
        <is>
          <t>SELL_PROFILE_FIXED</t>
        </is>
      </c>
      <c r="C564" t="inlineStr">
        <is>
          <t>L1</t>
        </is>
      </c>
      <c r="D564" t="inlineStr">
        <is>
          <t>EMERGENCY_SELL_PCT</t>
        </is>
      </c>
    </row>
    <row r="565">
      <c r="A565" t="inlineStr">
        <is>
          <t>SELL_LIVE_FIXED.xlsx</t>
        </is>
      </c>
      <c r="B565" t="inlineStr">
        <is>
          <t>SELL_PROFILE_FIXED</t>
        </is>
      </c>
      <c r="C565" t="inlineStr">
        <is>
          <t>M1</t>
        </is>
      </c>
      <c r="D565" t="inlineStr">
        <is>
          <t>SELL_ACTION</t>
        </is>
      </c>
    </row>
    <row r="566">
      <c r="A566" t="inlineStr">
        <is>
          <t>SELL_LIVE_FIXED.xlsx</t>
        </is>
      </c>
      <c r="B566" t="inlineStr">
        <is>
          <t>SELL_PROFILE_FIXED</t>
        </is>
      </c>
      <c r="C566" t="inlineStr">
        <is>
          <t>N1</t>
        </is>
      </c>
      <c r="D566" t="inlineStr">
        <is>
          <t>SELL_PCT_FINAL</t>
        </is>
      </c>
    </row>
    <row r="567">
      <c r="A567" t="inlineStr">
        <is>
          <t>SELL_LIVE_FIXED.xlsx</t>
        </is>
      </c>
      <c r="B567" t="inlineStr">
        <is>
          <t>SELL_PROFILE_FIXED</t>
        </is>
      </c>
      <c r="C567" t="inlineStr">
        <is>
          <t>A2</t>
        </is>
      </c>
      <c r="D567">
        <f>SELL_PROFILE!B2</f>
        <v/>
      </c>
    </row>
    <row r="568">
      <c r="A568" t="inlineStr">
        <is>
          <t>SELL_LIVE_FIXED.xlsx</t>
        </is>
      </c>
      <c r="B568" t="inlineStr">
        <is>
          <t>SELL_PROFILE_FIXED</t>
        </is>
      </c>
      <c r="C568" t="inlineStr">
        <is>
          <t>D2</t>
        </is>
      </c>
      <c r="D568">
        <f>RISK_ENGINE!B2="OK"</f>
        <v/>
      </c>
    </row>
    <row r="569">
      <c r="A569" t="inlineStr">
        <is>
          <t>SELL_LIVE_FIXED.xlsx</t>
        </is>
      </c>
      <c r="B569" t="inlineStr">
        <is>
          <t>SELL_PROFILE_FIXED</t>
        </is>
      </c>
      <c r="C569" t="inlineStr">
        <is>
          <t>G2</t>
        </is>
      </c>
      <c r="D569">
        <f>IF(SELL_ALLOWED,0.3,0)</f>
        <v/>
      </c>
    </row>
    <row r="570">
      <c r="A570" t="inlineStr">
        <is>
          <t>SELL_LIVE_FIXED.xlsx</t>
        </is>
      </c>
      <c r="B570" t="inlineStr">
        <is>
          <t>SELL_PROFILE_FIXED</t>
        </is>
      </c>
      <c r="C570" t="inlineStr">
        <is>
          <t>K2</t>
        </is>
      </c>
      <c r="D570">
        <f>AND(RISK_ENGINE!B2="ALERT",MARKET!B2="VOL_SPIKE")</f>
        <v/>
      </c>
    </row>
    <row r="571">
      <c r="A571" t="inlineStr">
        <is>
          <t>DYZEN_Capital_OS_Pro (6)_SELL_AB_LIVE_READY (1).xlsx</t>
        </is>
      </c>
      <c r="B571" t="inlineStr">
        <is>
          <t>README</t>
        </is>
      </c>
      <c r="C571" t="inlineStr">
        <is>
          <t>B2</t>
        </is>
      </c>
      <c r="D571" t="inlineStr">
        <is>
          <t>DYZEN CAPITAL OS</t>
        </is>
      </c>
    </row>
    <row r="572">
      <c r="A572" t="inlineStr">
        <is>
          <t>DYZEN_Capital_OS_Pro (6)_SELL_AB_LIVE_READY (1).xlsx</t>
        </is>
      </c>
      <c r="B572" t="inlineStr">
        <is>
          <t>README</t>
        </is>
      </c>
      <c r="C572" t="inlineStr">
        <is>
          <t>B4</t>
        </is>
      </c>
      <c r="D572" t="inlineStr">
        <is>
          <t>Private Decision Engine for Capital, Risk &amp; Trading Intelligence</t>
        </is>
      </c>
    </row>
    <row r="573">
      <c r="A573" t="inlineStr">
        <is>
          <t>DYZEN_Capital_OS_Pro (6)_SELL_AB_LIVE_READY (1).xlsx</t>
        </is>
      </c>
      <c r="B573" t="inlineStr">
        <is>
          <t>README</t>
        </is>
      </c>
      <c r="C573" t="inlineStr">
        <is>
          <t>B7</t>
        </is>
      </c>
      <c r="D57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74">
      <c r="A574" t="inlineStr">
        <is>
          <t>DYZEN_Capital_OS_Pro (6)_SELL_AB_LIVE_READY (1).xlsx</t>
        </is>
      </c>
      <c r="B574" t="inlineStr">
        <is>
          <t>INPUTS</t>
        </is>
      </c>
      <c r="C574" t="inlineStr">
        <is>
          <t>A1</t>
        </is>
      </c>
      <c r="D574" t="inlineStr">
        <is>
          <t>Capital</t>
        </is>
      </c>
    </row>
    <row r="575">
      <c r="A575" t="inlineStr">
        <is>
          <t>DYZEN_Capital_OS_Pro (6)_SELL_AB_LIVE_READY (1).xlsx</t>
        </is>
      </c>
      <c r="B575" t="inlineStr">
        <is>
          <t>INPUTS</t>
        </is>
      </c>
      <c r="C575" t="inlineStr">
        <is>
          <t>B1</t>
        </is>
      </c>
      <c r="D575" t="inlineStr">
        <is>
          <t>Risk Appetite</t>
        </is>
      </c>
    </row>
    <row r="576">
      <c r="A576" t="inlineStr">
        <is>
          <t>DYZEN_Capital_OS_Pro (6)_SELL_AB_LIVE_READY (1).xlsx</t>
        </is>
      </c>
      <c r="B576" t="inlineStr">
        <is>
          <t>MARKET</t>
        </is>
      </c>
      <c r="C576" t="inlineStr">
        <is>
          <t>C1</t>
        </is>
      </c>
      <c r="D576" t="inlineStr">
        <is>
          <t>Regime Score</t>
        </is>
      </c>
    </row>
    <row r="577">
      <c r="A577" t="inlineStr">
        <is>
          <t>DYZEN_Capital_OS_Pro (6)_SELL_AB_LIVE_READY (1).xlsx</t>
        </is>
      </c>
      <c r="B577" t="inlineStr">
        <is>
          <t>MARKET</t>
        </is>
      </c>
      <c r="C577" t="inlineStr">
        <is>
          <t>D1</t>
        </is>
      </c>
      <c r="D577" t="inlineStr">
        <is>
          <t>Regime OK</t>
        </is>
      </c>
    </row>
    <row r="578">
      <c r="A578" t="inlineStr">
        <is>
          <t>DYZEN_Capital_OS_Pro (6)_SELL_AB_LIVE_READY (1).xlsx</t>
        </is>
      </c>
      <c r="B578" t="inlineStr">
        <is>
          <t>SETUP</t>
        </is>
      </c>
      <c r="C578" t="inlineStr">
        <is>
          <t>A6</t>
        </is>
      </c>
      <c r="D578" t="inlineStr">
        <is>
          <t>Risk : Reward Ratio</t>
        </is>
      </c>
    </row>
    <row r="579">
      <c r="A579" t="inlineStr">
        <is>
          <t>DYZEN_Capital_OS_Pro (6)_SELL_AB_LIVE_READY (1).xlsx</t>
        </is>
      </c>
      <c r="B579" t="inlineStr">
        <is>
          <t>SETUP</t>
        </is>
      </c>
      <c r="C579" t="inlineStr">
        <is>
          <t>A17</t>
        </is>
      </c>
      <c r="D579" t="inlineStr">
        <is>
          <t>Late Entry Risk</t>
        </is>
      </c>
    </row>
    <row r="580">
      <c r="A580" t="inlineStr">
        <is>
          <t>DYZEN_Capital_OS_Pro (6)_SELL_AB_LIVE_READY (1).xlsx</t>
        </is>
      </c>
      <c r="B580" t="inlineStr">
        <is>
          <t>PSYCHO</t>
        </is>
      </c>
      <c r="C580" t="inlineStr">
        <is>
          <t>A2</t>
        </is>
      </c>
      <c r="D580" t="inlineStr">
        <is>
          <t>Confidence Level (0–10)</t>
        </is>
      </c>
    </row>
    <row r="581">
      <c r="A581" t="inlineStr">
        <is>
          <t>DYZEN_Capital_OS_Pro (6)_SELL_AB_LIVE_READY (1).xlsx</t>
        </is>
      </c>
      <c r="B581" t="inlineStr">
        <is>
          <t>PSYCHO</t>
        </is>
      </c>
      <c r="C581" t="inlineStr">
        <is>
          <t>A9</t>
        </is>
      </c>
      <c r="D581" t="inlineStr">
        <is>
          <t>Overconfidence Risk (LOW/MED/HIGH)</t>
        </is>
      </c>
    </row>
    <row r="582">
      <c r="A582" t="inlineStr">
        <is>
          <t>DYZEN_Capital_OS_Pro (6)_SELL_AB_LIVE_READY (1).xlsx</t>
        </is>
      </c>
      <c r="B582" t="inlineStr">
        <is>
          <t>PSYCHO</t>
        </is>
      </c>
      <c r="C582" t="inlineStr">
        <is>
          <t>A11</t>
        </is>
      </c>
      <c r="D582" t="inlineStr">
        <is>
          <t>Revenge Trading Risk (YES/NO)</t>
        </is>
      </c>
    </row>
    <row r="583">
      <c r="A583" t="inlineStr">
        <is>
          <t>DYZEN_Capital_OS_Pro (6)_SELL_AB_LIVE_READY (1).xlsx</t>
        </is>
      </c>
      <c r="B583" t="inlineStr">
        <is>
          <t>PSYCHO</t>
        </is>
      </c>
      <c r="C583" t="inlineStr">
        <is>
          <t>A16</t>
        </is>
      </c>
      <c r="D583" t="inlineStr">
        <is>
          <t>Psychology Risk Flag</t>
        </is>
      </c>
    </row>
    <row r="584">
      <c r="A584" t="inlineStr">
        <is>
          <t>DYZEN_Capital_OS_Pro (6)_SELL_AB_LIVE_READY (1).xlsx</t>
        </is>
      </c>
      <c r="B584" t="inlineStr">
        <is>
          <t>PSYCHO</t>
        </is>
      </c>
      <c r="C584" t="inlineStr">
        <is>
          <t>A17</t>
        </is>
      </c>
      <c r="D584" t="inlineStr">
        <is>
          <t>Stability Threshold</t>
        </is>
      </c>
    </row>
    <row r="585">
      <c r="A585" t="inlineStr">
        <is>
          <t>DYZEN_Capital_OS_Pro (6)_SELL_AB_LIVE_READY (1).xlsx</t>
        </is>
      </c>
      <c r="B585" t="inlineStr">
        <is>
          <t>RISK_ENGINE</t>
        </is>
      </c>
      <c r="C585" t="inlineStr">
        <is>
          <t>A1</t>
        </is>
      </c>
      <c r="D585" t="inlineStr">
        <is>
          <t>ZONE A — CAPITAL INPUTS (INPUT)</t>
        </is>
      </c>
    </row>
    <row r="586">
      <c r="A586" t="inlineStr">
        <is>
          <t>DYZEN_Capital_OS_Pro (6)_SELL_AB_LIVE_READY (1).xlsx</t>
        </is>
      </c>
      <c r="B586" t="inlineStr">
        <is>
          <t>RISK_ENGINE</t>
        </is>
      </c>
      <c r="C586" t="inlineStr">
        <is>
          <t>A3</t>
        </is>
      </c>
      <c r="D586" t="inlineStr">
        <is>
          <t>Base Risk %</t>
        </is>
      </c>
    </row>
    <row r="587">
      <c r="A587" t="inlineStr">
        <is>
          <t>DYZEN_Capital_OS_Pro (6)_SELL_AB_LIVE_READY (1).xlsx</t>
        </is>
      </c>
      <c r="B587" t="inlineStr">
        <is>
          <t>RISK_ENGINE</t>
        </is>
      </c>
      <c r="C587" t="inlineStr">
        <is>
          <t>A4</t>
        </is>
      </c>
      <c r="D587" t="inlineStr">
        <is>
          <t>Max Risk % per Day</t>
        </is>
      </c>
    </row>
    <row r="588">
      <c r="A588" t="inlineStr">
        <is>
          <t>DYZEN_Capital_OS_Pro (6)_SELL_AB_LIVE_READY (1).xlsx</t>
        </is>
      </c>
      <c r="B588" t="inlineStr">
        <is>
          <t>RISK_ENGINE</t>
        </is>
      </c>
      <c r="C588" t="inlineStr">
        <is>
          <t>A5</t>
        </is>
      </c>
      <c r="D588" t="inlineStr">
        <is>
          <t>Max Risk % per Week</t>
        </is>
      </c>
    </row>
    <row r="589">
      <c r="A589" t="inlineStr">
        <is>
          <t>DYZEN_Capital_OS_Pro (6)_SELL_AB_LIVE_READY (1).xlsx</t>
        </is>
      </c>
      <c r="B589" t="inlineStr">
        <is>
          <t>RISK_ENGINE</t>
        </is>
      </c>
      <c r="C589" t="inlineStr">
        <is>
          <t>A6</t>
        </is>
      </c>
      <c r="D589" t="inlineStr">
        <is>
          <t>Risk Appetite (LOW/MED/HIGH)</t>
        </is>
      </c>
    </row>
    <row r="590">
      <c r="A590" t="inlineStr">
        <is>
          <t>DYZEN_Capital_OS_Pro (6)_SELL_AB_LIVE_READY (1).xlsx</t>
        </is>
      </c>
      <c r="B590" t="inlineStr">
        <is>
          <t>RISK_ENGINE</t>
        </is>
      </c>
      <c r="C590" t="inlineStr">
        <is>
          <t>A8</t>
        </is>
      </c>
      <c r="D590" t="inlineStr">
        <is>
          <t>ZONE B — PERFORMANCE &amp; DRAWDOWN STATES (DERIVED)</t>
        </is>
      </c>
    </row>
    <row r="591">
      <c r="A591" t="inlineStr">
        <is>
          <t>DYZEN_Capital_OS_Pro (6)_SELL_AB_LIVE_READY (1).xlsx</t>
        </is>
      </c>
      <c r="B591" t="inlineStr">
        <is>
          <t>RISK_ENGINE</t>
        </is>
      </c>
      <c r="C591" t="inlineStr">
        <is>
          <t>A11</t>
        </is>
      </c>
      <c r="D591" t="inlineStr">
        <is>
          <t>Peak-to-Trough Drawdown %</t>
        </is>
      </c>
    </row>
    <row r="592">
      <c r="A592" t="inlineStr">
        <is>
          <t>DYZEN_Capital_OS_Pro (6)_SELL_AB_LIVE_READY (1).xlsx</t>
        </is>
      </c>
      <c r="B592" t="inlineStr">
        <is>
          <t>RISK_ENGINE</t>
        </is>
      </c>
      <c r="C592" t="inlineStr">
        <is>
          <t>A15</t>
        </is>
      </c>
      <c r="D592" t="inlineStr">
        <is>
          <t>ZONE C — RISK GOVERNORS (LOGIC)</t>
        </is>
      </c>
    </row>
    <row r="593">
      <c r="A593" t="inlineStr">
        <is>
          <t>DYZEN_Capital_OS_Pro (6)_SELL_AB_LIVE_READY (1).xlsx</t>
        </is>
      </c>
      <c r="B593" t="inlineStr">
        <is>
          <t>RISK_ENGINE</t>
        </is>
      </c>
      <c r="C593" t="inlineStr">
        <is>
          <t>A16</t>
        </is>
      </c>
      <c r="D593" t="inlineStr">
        <is>
          <t>Drawdown State (NORMAL/WARNING/LOCKDOWN)</t>
        </is>
      </c>
    </row>
    <row r="594">
      <c r="A594" t="inlineStr">
        <is>
          <t>DYZEN_Capital_OS_Pro (6)_SELL_AB_LIVE_READY (1).xlsx</t>
        </is>
      </c>
      <c r="B594" t="inlineStr">
        <is>
          <t>RISK_ENGINE</t>
        </is>
      </c>
      <c r="C594" t="inlineStr">
        <is>
          <t>A17</t>
        </is>
      </c>
      <c r="D594" t="inlineStr">
        <is>
          <t>Risk Scaling Factor</t>
        </is>
      </c>
    </row>
    <row r="595">
      <c r="A595" t="inlineStr">
        <is>
          <t>DYZEN_Capital_OS_Pro (6)_SELL_AB_LIVE_READY (1).xlsx</t>
        </is>
      </c>
      <c r="B595" t="inlineStr">
        <is>
          <t>RISK_ENGINE</t>
        </is>
      </c>
      <c r="C595" t="inlineStr">
        <is>
          <t>A19</t>
        </is>
      </c>
      <c r="D595" t="inlineStr">
        <is>
          <t>Capital Survival Score (0–100)</t>
        </is>
      </c>
    </row>
    <row r="596">
      <c r="A596" t="inlineStr">
        <is>
          <t>DYZEN_Capital_OS_Pro (6)_SELL_AB_LIVE_READY (1).xlsx</t>
        </is>
      </c>
      <c r="B596" t="inlineStr">
        <is>
          <t>RISK_ENGINE</t>
        </is>
      </c>
      <c r="C596" t="inlineStr">
        <is>
          <t>A21</t>
        </is>
      </c>
      <c r="D596" t="inlineStr">
        <is>
          <t>ZONE D — RISK PERMISSION OUTPUT (DECISION)</t>
        </is>
      </c>
    </row>
    <row r="597">
      <c r="A597" t="inlineStr">
        <is>
          <t>DYZEN_Capital_OS_Pro (6)_SELL_AB_LIVE_READY (1).xlsx</t>
        </is>
      </c>
      <c r="B597" t="inlineStr">
        <is>
          <t>RISK_ENGINE</t>
        </is>
      </c>
      <c r="C597" t="inlineStr">
        <is>
          <t>A24</t>
        </is>
      </c>
      <c r="D597" t="inlineStr">
        <is>
          <t>Risk Block Reason</t>
        </is>
      </c>
    </row>
    <row r="598">
      <c r="A598" t="inlineStr">
        <is>
          <t>DYZEN_Capital_OS_Pro (6)_SELL_AB_LIVE_READY (1).xlsx</t>
        </is>
      </c>
      <c r="B598" t="inlineStr">
        <is>
          <t>SIGNAL_OUTBOX</t>
        </is>
      </c>
      <c r="C598" t="inlineStr">
        <is>
          <t>F2</t>
        </is>
      </c>
      <c r="D598" t="inlineStr">
        <is>
          <t>SELL</t>
        </is>
      </c>
    </row>
    <row r="599">
      <c r="A599" t="inlineStr">
        <is>
          <t>DYZEN_Capital_OS_Pro (6)_SELL_AB_LIVE_READY (1).xlsx</t>
        </is>
      </c>
      <c r="B599" t="inlineStr">
        <is>
          <t>SIGNAL_OUTBOX</t>
        </is>
      </c>
      <c r="C599" t="inlineStr">
        <is>
          <t>G2</t>
        </is>
      </c>
      <c r="D599">
        <f>SELL_PROFILE_FIXED!M2</f>
        <v/>
      </c>
    </row>
    <row r="600">
      <c r="A600" t="inlineStr">
        <is>
          <t>DYZEN_Capital_OS_Pro (6)_SELL_AB_LIVE_READY (1).xlsx</t>
        </is>
      </c>
      <c r="B600" t="inlineStr">
        <is>
          <t>SIGNAL_OUTBOX</t>
        </is>
      </c>
      <c r="C600" t="inlineStr">
        <is>
          <t>H2</t>
        </is>
      </c>
      <c r="D600">
        <f>SELL_PROFILE_FIXED!N2</f>
        <v/>
      </c>
    </row>
    <row r="601">
      <c r="A601" t="inlineStr">
        <is>
          <t>DYZEN_Capital_OS_Pro (6)_SELL_AB_LIVE_READY (1).xlsx</t>
        </is>
      </c>
      <c r="B601" t="inlineStr">
        <is>
          <t>SIGNAL_OUTBOX</t>
        </is>
      </c>
      <c r="C601" t="inlineStr">
        <is>
          <t>A4</t>
        </is>
      </c>
      <c r="D601" t="inlineStr">
        <is>
          <t>Verdict Confidence Level</t>
        </is>
      </c>
    </row>
    <row r="602">
      <c r="A602" t="inlineStr">
        <is>
          <t>DYZEN_Capital_OS_Pro (6)_SELL_AB_LIVE_READY (1).xlsx</t>
        </is>
      </c>
      <c r="B602" t="inlineStr">
        <is>
          <t>SIGNAL_OUTBOX</t>
        </is>
      </c>
      <c r="C602" t="inlineStr">
        <is>
          <t>A10</t>
        </is>
      </c>
      <c r="D602" t="inlineStr">
        <is>
          <t>Confidence Check</t>
        </is>
      </c>
    </row>
    <row r="603">
      <c r="A603" t="inlineStr">
        <is>
          <t>DYZEN_Capital_OS_Pro (6)_SELL_AB_LIVE_READY (1).xlsx</t>
        </is>
      </c>
      <c r="B603" t="inlineStr">
        <is>
          <t>JOURNAL</t>
        </is>
      </c>
      <c r="C603" t="inlineStr">
        <is>
          <t>C1</t>
        </is>
      </c>
      <c r="D603" t="inlineStr">
        <is>
          <t>Regime</t>
        </is>
      </c>
    </row>
    <row r="604">
      <c r="A604" t="inlineStr">
        <is>
          <t>DYZEN_Capital_OS_Pro (6)_SELL_AB_LIVE_READY (1).xlsx</t>
        </is>
      </c>
      <c r="B604" t="inlineStr">
        <is>
          <t>PERMISSION_BUS</t>
        </is>
      </c>
      <c r="C604" t="inlineStr">
        <is>
          <t>A2</t>
        </is>
      </c>
      <c r="D604" t="inlineStr">
        <is>
          <t>Market Regime OK</t>
        </is>
      </c>
    </row>
    <row r="605">
      <c r="A605" t="inlineStr">
        <is>
          <t>DYZEN_Capital_OS_Pro (6)_SELL_AB_LIVE_READY (1).xlsx</t>
        </is>
      </c>
      <c r="B605" t="inlineStr">
        <is>
          <t>PERMISSION_BUS</t>
        </is>
      </c>
      <c r="C605" t="inlineStr">
        <is>
          <t>A3</t>
        </is>
      </c>
      <c r="D605" t="inlineStr">
        <is>
          <t>Risk Engine OK</t>
        </is>
      </c>
    </row>
    <row r="606">
      <c r="A606" t="inlineStr">
        <is>
          <t>DYZEN_Capital_OS_Pro (6)_SELL_AB_LIVE_READY (1).xlsx</t>
        </is>
      </c>
      <c r="B606" t="inlineStr">
        <is>
          <t>PERMISSION_BUS</t>
        </is>
      </c>
      <c r="C606" t="inlineStr">
        <is>
          <t>A14</t>
        </is>
      </c>
      <c r="D606" t="inlineStr">
        <is>
          <t>Verdict Confidence Level</t>
        </is>
      </c>
    </row>
    <row r="607">
      <c r="A607" t="inlineStr">
        <is>
          <t>DYZEN_Capital_OS_Pro (6)_SELL_AB_LIVE_READY (1).xlsx</t>
        </is>
      </c>
      <c r="B607" t="inlineStr">
        <is>
          <t>SELL_PROFILE</t>
        </is>
      </c>
      <c r="C607" t="inlineStr">
        <is>
          <t>C1</t>
        </is>
      </c>
      <c r="D607" t="inlineStr">
        <is>
          <t>SELL_PROFILE</t>
        </is>
      </c>
    </row>
    <row r="608">
      <c r="A608" t="inlineStr">
        <is>
          <t>DYZEN_Capital_OS_Pro (6)_SELL_AB_LIVE_READY (1).xlsx</t>
        </is>
      </c>
      <c r="B608" t="inlineStr">
        <is>
          <t>SELL_PROFILE</t>
        </is>
      </c>
      <c r="C608" t="inlineStr">
        <is>
          <t>A2</t>
        </is>
      </c>
      <c r="D608" t="inlineStr">
        <is>
          <t>CONFIDENCE_MIN</t>
        </is>
      </c>
    </row>
    <row r="609">
      <c r="A609" t="inlineStr">
        <is>
          <t>DYZEN_Capital_OS_Pro (6)_SELL_AB_LIVE_READY (1).xlsx</t>
        </is>
      </c>
      <c r="B609" t="inlineStr">
        <is>
          <t>SELL_PROFILE</t>
        </is>
      </c>
      <c r="C609" t="inlineStr">
        <is>
          <t>D2</t>
        </is>
      </c>
      <c r="D609" t="inlineStr">
        <is>
          <t>SELL-ს ნაკლები სიზუსტე სჭირდება</t>
        </is>
      </c>
    </row>
    <row r="610">
      <c r="A610" t="inlineStr">
        <is>
          <t>DYZEN_Capital_OS_Pro (6)_SELL_AB_LIVE_READY (1).xlsx</t>
        </is>
      </c>
      <c r="B610" t="inlineStr">
        <is>
          <t>SELL_PROFILE</t>
        </is>
      </c>
      <c r="C610" t="inlineStr">
        <is>
          <t>D3</t>
        </is>
      </c>
      <c r="D610" t="inlineStr">
        <is>
          <t>SELL უფრო გვიანაც დაიშვება</t>
        </is>
      </c>
    </row>
    <row r="611">
      <c r="A611" t="inlineStr">
        <is>
          <t>DYZEN_Capital_OS_Pro (6)_SELL_AB_LIVE_READY (1).xlsx</t>
        </is>
      </c>
      <c r="B611" t="inlineStr">
        <is>
          <t>SELL_PROFILE</t>
        </is>
      </c>
      <c r="C611" t="inlineStr">
        <is>
          <t>D4</t>
        </is>
      </c>
      <c r="D611" t="inlineStr">
        <is>
          <t>SELL იღებს თხელ წიგნსაც</t>
        </is>
      </c>
    </row>
    <row r="612">
      <c r="A612" t="inlineStr">
        <is>
          <t>DYZEN_Capital_OS_Pro (6)_SELL_AB_LIVE_READY (1).xlsx</t>
        </is>
      </c>
      <c r="B612" t="inlineStr">
        <is>
          <t>SELL_PROFILE</t>
        </is>
      </c>
      <c r="C612" t="inlineStr">
        <is>
          <t>A5</t>
        </is>
      </c>
      <c r="D612" t="inlineStr">
        <is>
          <t>RISK_STRICTNESS</t>
        </is>
      </c>
    </row>
    <row r="613">
      <c r="A613" t="inlineStr">
        <is>
          <t>DYZEN_Capital_OS_Pro (6)_SELL_AB_LIVE_READY (1).xlsx</t>
        </is>
      </c>
      <c r="B613" t="inlineStr">
        <is>
          <t>SELL_PROFILE</t>
        </is>
      </c>
      <c r="C613" t="inlineStr">
        <is>
          <t>D5</t>
        </is>
      </c>
      <c r="D613" t="inlineStr">
        <is>
          <t>SELL = damage control</t>
        </is>
      </c>
    </row>
    <row r="614">
      <c r="A614" t="inlineStr">
        <is>
          <t>DYZEN_Capital_OS_Pro (6)_SELL_AB_LIVE_READY (1).xlsx</t>
        </is>
      </c>
      <c r="B614" t="inlineStr">
        <is>
          <t>SELL_PROFILE</t>
        </is>
      </c>
      <c r="C614" t="inlineStr">
        <is>
          <t>D6</t>
        </is>
      </c>
      <c r="D614" t="inlineStr">
        <is>
          <t>SELL არ ეძებს პიკს</t>
        </is>
      </c>
    </row>
    <row r="615">
      <c r="A615" t="inlineStr">
        <is>
          <t>DYZEN_Capital_OS_Pro (6)_SELL_AB_LIVE_READY (1).xlsx</t>
        </is>
      </c>
      <c r="B615" t="inlineStr">
        <is>
          <t>SELL_PROFILE</t>
        </is>
      </c>
      <c r="C615" t="inlineStr">
        <is>
          <t>A7</t>
        </is>
      </c>
      <c r="D615" t="inlineStr">
        <is>
          <t>URGENCY_WEIGHT</t>
        </is>
      </c>
    </row>
    <row r="616">
      <c r="A616" t="inlineStr">
        <is>
          <t>DYZEN_Capital_OS_Pro (6)_SELL_AB_LIVE_READY (1).xlsx</t>
        </is>
      </c>
      <c r="B616" t="inlineStr">
        <is>
          <t>SELL_PROFILE</t>
        </is>
      </c>
      <c r="C616" t="inlineStr">
        <is>
          <t>D7</t>
        </is>
      </c>
      <c r="D616" t="inlineStr">
        <is>
          <t>SELL რეაგირებს სწრაფად</t>
        </is>
      </c>
    </row>
    <row r="617">
      <c r="A617" t="inlineStr">
        <is>
          <t>DYZEN_Capital_OS_Pro (6)_SELL_AB_LIVE_READY (1).xlsx</t>
        </is>
      </c>
      <c r="B617" t="inlineStr">
        <is>
          <t>SELL_PROFILE_FIXED</t>
        </is>
      </c>
      <c r="C617" t="inlineStr">
        <is>
          <t>A1</t>
        </is>
      </c>
      <c r="D617" t="inlineStr">
        <is>
          <t>SELL_CONFIDENCE</t>
        </is>
      </c>
    </row>
    <row r="618">
      <c r="A618" t="inlineStr">
        <is>
          <t>DYZEN_Capital_OS_Pro (6)_SELL_AB_LIVE_READY (1).xlsx</t>
        </is>
      </c>
      <c r="B618" t="inlineStr">
        <is>
          <t>SELL_PROFILE_FIXED</t>
        </is>
      </c>
      <c r="C618" t="inlineStr">
        <is>
          <t>B1</t>
        </is>
      </c>
      <c r="D618" t="inlineStr">
        <is>
          <t>SELL_CONFIDENCE_OK</t>
        </is>
      </c>
    </row>
    <row r="619">
      <c r="A619" t="inlineStr">
        <is>
          <t>DYZEN_Capital_OS_Pro (6)_SELL_AB_LIVE_READY (1).xlsx</t>
        </is>
      </c>
      <c r="B619" t="inlineStr">
        <is>
          <t>SELL_PROFILE_FIXED</t>
        </is>
      </c>
      <c r="C619" t="inlineStr">
        <is>
          <t>D1</t>
        </is>
      </c>
      <c r="D619" t="inlineStr">
        <is>
          <t>SELL_RISK_STATE_OK</t>
        </is>
      </c>
    </row>
    <row r="620">
      <c r="A620" t="inlineStr">
        <is>
          <t>DYZEN_Capital_OS_Pro (6)_SELL_AB_LIVE_READY (1).xlsx</t>
        </is>
      </c>
      <c r="B620" t="inlineStr">
        <is>
          <t>SELL_PROFILE_FIXED</t>
        </is>
      </c>
      <c r="C620" t="inlineStr">
        <is>
          <t>E1</t>
        </is>
      </c>
      <c r="D620" t="inlineStr">
        <is>
          <t>SELL_STREAK_OK</t>
        </is>
      </c>
    </row>
    <row r="621">
      <c r="A621" t="inlineStr">
        <is>
          <t>DYZEN_Capital_OS_Pro (6)_SELL_AB_LIVE_READY (1).xlsx</t>
        </is>
      </c>
      <c r="B621" t="inlineStr">
        <is>
          <t>SELL_PROFILE_FIXED</t>
        </is>
      </c>
      <c r="C621" t="inlineStr">
        <is>
          <t>G1</t>
        </is>
      </c>
      <c r="D621" t="inlineStr">
        <is>
          <t>PARTIAL_SELL_PCT</t>
        </is>
      </c>
    </row>
    <row r="622">
      <c r="A622" t="inlineStr">
        <is>
          <t>DYZEN_Capital_OS_Pro (6)_SELL_AB_LIVE_READY (1).xlsx</t>
        </is>
      </c>
      <c r="B622" t="inlineStr">
        <is>
          <t>SELL_PROFILE_FIXED</t>
        </is>
      </c>
      <c r="C622" t="inlineStr">
        <is>
          <t>H1</t>
        </is>
      </c>
      <c r="D622" t="inlineStr">
        <is>
          <t>SELL_ALLOWED</t>
        </is>
      </c>
    </row>
    <row r="623">
      <c r="A623" t="inlineStr">
        <is>
          <t>DYZEN_Capital_OS_Pro (6)_SELL_AB_LIVE_READY (1).xlsx</t>
        </is>
      </c>
      <c r="B623" t="inlineStr">
        <is>
          <t>SELL_PROFILE_FIXED</t>
        </is>
      </c>
      <c r="C623" t="inlineStr">
        <is>
          <t>I1</t>
        </is>
      </c>
      <c r="D623" t="inlineStr">
        <is>
          <t>PRESELL_TRIGGER</t>
        </is>
      </c>
    </row>
    <row r="624">
      <c r="A624" t="inlineStr">
        <is>
          <t>DYZEN_Capital_OS_Pro (6)_SELL_AB_LIVE_READY (1).xlsx</t>
        </is>
      </c>
      <c r="B624" t="inlineStr">
        <is>
          <t>SELL_PROFILE_FIXED</t>
        </is>
      </c>
      <c r="C624" t="inlineStr">
        <is>
          <t>J1</t>
        </is>
      </c>
      <c r="D624" t="inlineStr">
        <is>
          <t>PRESELL_PCT</t>
        </is>
      </c>
    </row>
    <row r="625">
      <c r="A625" t="inlineStr">
        <is>
          <t>DYZEN_Capital_OS_Pro (6)_SELL_AB_LIVE_READY (1).xlsx</t>
        </is>
      </c>
      <c r="B625" t="inlineStr">
        <is>
          <t>SELL_PROFILE_FIXED</t>
        </is>
      </c>
      <c r="C625" t="inlineStr">
        <is>
          <t>L1</t>
        </is>
      </c>
      <c r="D625" t="inlineStr">
        <is>
          <t>EMERGENCY_SELL_PCT</t>
        </is>
      </c>
    </row>
    <row r="626">
      <c r="A626" t="inlineStr">
        <is>
          <t>DYZEN_Capital_OS_Pro (6)_SELL_AB_LIVE_READY (1).xlsx</t>
        </is>
      </c>
      <c r="B626" t="inlineStr">
        <is>
          <t>SELL_PROFILE_FIXED</t>
        </is>
      </c>
      <c r="C626" t="inlineStr">
        <is>
          <t>M1</t>
        </is>
      </c>
      <c r="D626" t="inlineStr">
        <is>
          <t>SELL_ACTION</t>
        </is>
      </c>
    </row>
    <row r="627">
      <c r="A627" t="inlineStr">
        <is>
          <t>DYZEN_Capital_OS_Pro (6)_SELL_AB_LIVE_READY (1).xlsx</t>
        </is>
      </c>
      <c r="B627" t="inlineStr">
        <is>
          <t>SELL_PROFILE_FIXED</t>
        </is>
      </c>
      <c r="C627" t="inlineStr">
        <is>
          <t>N1</t>
        </is>
      </c>
      <c r="D627" t="inlineStr">
        <is>
          <t>SELL_PCT_FINAL</t>
        </is>
      </c>
    </row>
    <row r="628">
      <c r="A628" t="inlineStr">
        <is>
          <t>DYZEN_Capital_OS_Pro (6)_SELL_AB_LIVE_READY (1).xlsx</t>
        </is>
      </c>
      <c r="B628" t="inlineStr">
        <is>
          <t>SELL_PROFILE_FIXED</t>
        </is>
      </c>
      <c r="C628" t="inlineStr">
        <is>
          <t>A2</t>
        </is>
      </c>
      <c r="D628">
        <f>SELL_PROFILE!B2</f>
        <v/>
      </c>
    </row>
    <row r="629">
      <c r="A629" t="inlineStr">
        <is>
          <t>DYZEN_Capital_OS_Pro (6)_SELL_AB_LIVE_READY (1).xlsx</t>
        </is>
      </c>
      <c r="B629" t="inlineStr">
        <is>
          <t>SELL_PROFILE_FIXED</t>
        </is>
      </c>
      <c r="C629" t="inlineStr">
        <is>
          <t>D2</t>
        </is>
      </c>
      <c r="D629">
        <f>RISK_ENGINE!B2="OK"</f>
        <v/>
      </c>
    </row>
    <row r="630">
      <c r="A630" t="inlineStr">
        <is>
          <t>DYZEN_Capital_OS_Pro (6)_SELL_AB_LIVE_READY (1).xlsx</t>
        </is>
      </c>
      <c r="B630" t="inlineStr">
        <is>
          <t>SELL_PROFILE_FIXED</t>
        </is>
      </c>
      <c r="C630" t="inlineStr">
        <is>
          <t>G2</t>
        </is>
      </c>
      <c r="D630">
        <f>IF(SELL_ALLOWED,0.3,0)</f>
        <v/>
      </c>
    </row>
    <row r="631">
      <c r="A631" t="inlineStr">
        <is>
          <t>DYZEN_Capital_OS_Pro (6)_SELL_AB_LIVE_READY (1).xlsx</t>
        </is>
      </c>
      <c r="B631" t="inlineStr">
        <is>
          <t>SELL_PROFILE_FIXED</t>
        </is>
      </c>
      <c r="C631" t="inlineStr">
        <is>
          <t>K2</t>
        </is>
      </c>
      <c r="D631">
        <f>AND(RISK_ENGINE!B2="ALERT",MARKET!B2="VOL_SPIKE")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Core Logic</t>
        </is>
      </c>
      <c r="C1" s="1" t="inlineStr">
        <is>
          <t>Key Filter</t>
        </is>
      </c>
      <c r="D1" s="1" t="inlineStr">
        <is>
          <t>Risk Behavior</t>
        </is>
      </c>
      <c r="E1" s="1" t="inlineStr">
        <is>
          <t>Improvement</t>
        </is>
      </c>
    </row>
    <row r="2">
      <c r="A2" t="inlineStr">
        <is>
          <t>V2_PARTIAL_RUNNER</t>
        </is>
      </c>
      <c r="B2" t="inlineStr">
        <is>
          <t>Profit Gate + 30% Partial</t>
        </is>
      </c>
      <c r="C2" t="inlineStr">
        <is>
          <t>Min R threshold</t>
        </is>
      </c>
      <c r="D2" t="inlineStr">
        <is>
          <t>Keeps runner exposure</t>
        </is>
      </c>
      <c r="E2" t="inlineStr">
        <is>
          <t>Introduced partial scaling logic</t>
        </is>
      </c>
    </row>
    <row r="3">
      <c r="A3" t="inlineStr">
        <is>
          <t>V3_PROFIT_GATED</t>
        </is>
      </c>
      <c r="B3" t="inlineStr">
        <is>
          <t>Strict Min R before SELL</t>
        </is>
      </c>
      <c r="C3" t="inlineStr">
        <is>
          <t>Profit Gate enforced</t>
        </is>
      </c>
      <c r="D3" t="inlineStr">
        <is>
          <t>Reduces early exits</t>
        </is>
      </c>
      <c r="E3" t="inlineStr">
        <is>
          <t>Stronger profit validation</t>
        </is>
      </c>
    </row>
    <row r="4">
      <c r="A4" t="inlineStr">
        <is>
          <t>DEEP_PASS</t>
        </is>
      </c>
      <c r="B4" t="inlineStr">
        <is>
          <t>Multi-layer consensus</t>
        </is>
      </c>
      <c r="C4" t="inlineStr">
        <is>
          <t>Structure+Volume+Risk aligned</t>
        </is>
      </c>
      <c r="D4" t="inlineStr">
        <is>
          <t>Institutional filtering</t>
        </is>
      </c>
      <c r="E4" t="inlineStr">
        <is>
          <t>Full confirmation gating</t>
        </is>
      </c>
    </row>
    <row r="5">
      <c r="A5" t="inlineStr">
        <is>
          <t>PATCHED</t>
        </is>
      </c>
      <c r="B5" t="inlineStr">
        <is>
          <t>Confidence ≥0.64 + Structure Required</t>
        </is>
      </c>
      <c r="C5" t="inlineStr">
        <is>
          <t>SELL_CONFIDENCE_MIN raised</t>
        </is>
      </c>
      <c r="D5" t="inlineStr">
        <is>
          <t>Noise suppression</t>
        </is>
      </c>
      <c r="E5" t="inlineStr">
        <is>
          <t>Fix permissive SELL issue</t>
        </is>
      </c>
    </row>
    <row r="6">
      <c r="A6" t="inlineStr">
        <is>
          <t>AB_READY</t>
        </is>
      </c>
      <c r="B6" t="inlineStr">
        <is>
          <t>Conservative vs Aggressive profiles</t>
        </is>
      </c>
      <c r="C6" t="inlineStr">
        <is>
          <t>Live performance comparison</t>
        </is>
      </c>
      <c r="D6" t="inlineStr">
        <is>
          <t>Adaptive tuning</t>
        </is>
      </c>
      <c r="E6" t="inlineStr">
        <is>
          <t>Profile optimization engine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Normalized Weight</t>
        </is>
      </c>
      <c r="C1" s="1" t="inlineStr">
        <is>
          <t>Threshold</t>
        </is>
      </c>
      <c r="D1" s="1" t="inlineStr">
        <is>
          <t>Purpose</t>
        </is>
      </c>
    </row>
    <row r="2">
      <c r="A2" t="inlineStr">
        <is>
          <t>Trend Strength</t>
        </is>
      </c>
      <c r="B2" t="n">
        <v>0.25</v>
      </c>
      <c r="C2" t="inlineStr">
        <is>
          <t>≥0.60</t>
        </is>
      </c>
      <c r="D2" t="inlineStr">
        <is>
          <t>Macro bias filter</t>
        </is>
      </c>
    </row>
    <row r="3">
      <c r="A3" t="inlineStr">
        <is>
          <t>Structure Validation</t>
        </is>
      </c>
      <c r="B3" t="n">
        <v>0.2</v>
      </c>
      <c r="C3" t="inlineStr">
        <is>
          <t>TRUE required</t>
        </is>
      </c>
      <c r="D3" t="inlineStr">
        <is>
          <t>Market structure confirmation</t>
        </is>
      </c>
    </row>
    <row r="4">
      <c r="A4" t="inlineStr">
        <is>
          <t>Volume Confirmation</t>
        </is>
      </c>
      <c r="B4" t="n">
        <v>0.15</v>
      </c>
      <c r="C4" t="inlineStr">
        <is>
          <t>≥0.50</t>
        </is>
      </c>
      <c r="D4" t="inlineStr">
        <is>
          <t>Liquidity validation</t>
        </is>
      </c>
    </row>
    <row r="5">
      <c r="A5" t="inlineStr">
        <is>
          <t>Risk State Modifier</t>
        </is>
      </c>
      <c r="B5" t="n">
        <v>0.15</v>
      </c>
      <c r="C5" t="inlineStr">
        <is>
          <t>State != KILL</t>
        </is>
      </c>
      <c r="D5" t="inlineStr">
        <is>
          <t>Capital protection override</t>
        </is>
      </c>
    </row>
    <row r="6">
      <c r="A6" t="inlineStr">
        <is>
          <t>Confidence Score</t>
        </is>
      </c>
      <c r="B6" t="n">
        <v>0.15</v>
      </c>
      <c r="C6" t="inlineStr">
        <is>
          <t>≥0.64</t>
        </is>
      </c>
      <c r="D6" t="inlineStr">
        <is>
          <t>Primary SELL gate</t>
        </is>
      </c>
    </row>
    <row r="7">
      <c r="A7" t="inlineStr">
        <is>
          <t>Volatility Regime</t>
        </is>
      </c>
      <c r="B7" t="n">
        <v>0.1</v>
      </c>
      <c r="C7" t="inlineStr">
        <is>
          <t>Allowed band only</t>
        </is>
      </c>
      <c r="D7" t="inlineStr">
        <is>
          <t>Avoid extreme volatility regimes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Rule</t>
        </is>
      </c>
      <c r="C1" s="1" t="inlineStr">
        <is>
          <t>Override Effect</t>
        </is>
      </c>
    </row>
    <row r="2">
      <c r="A2" t="n">
        <v>1</v>
      </c>
      <c r="B2" t="inlineStr">
        <is>
          <t>KILL_STATE</t>
        </is>
      </c>
      <c r="C2" t="inlineStr">
        <is>
          <t>Stops all trading immediately</t>
        </is>
      </c>
    </row>
    <row r="3">
      <c r="A3" t="n">
        <v>2</v>
      </c>
      <c r="B3" t="inlineStr">
        <is>
          <t>Exposure_Cap_Breach</t>
        </is>
      </c>
      <c r="C3" t="inlineStr">
        <is>
          <t>Blocks new entries</t>
        </is>
      </c>
    </row>
    <row r="4">
      <c r="A4" t="n">
        <v>3</v>
      </c>
      <c r="B4" t="inlineStr">
        <is>
          <t>Structure_Invalid</t>
        </is>
      </c>
      <c r="C4" t="inlineStr">
        <is>
          <t>Blocks SELL execution</t>
        </is>
      </c>
    </row>
    <row r="5">
      <c r="A5" t="n">
        <v>4</v>
      </c>
      <c r="B5" t="inlineStr">
        <is>
          <t>Confidence &lt; 0.64</t>
        </is>
      </c>
      <c r="C5" t="inlineStr">
        <is>
          <t>Blocks SELL</t>
        </is>
      </c>
    </row>
    <row r="6">
      <c r="A6" t="n">
        <v>5</v>
      </c>
      <c r="B6" t="inlineStr">
        <is>
          <t>Profit_Gate_Not_Met</t>
        </is>
      </c>
      <c r="C6" t="inlineStr">
        <is>
          <t>Blocks SELL</t>
        </is>
      </c>
    </row>
    <row r="7">
      <c r="A7" t="n">
        <v>6</v>
      </c>
      <c r="B7" t="inlineStr">
        <is>
          <t>Trend_Weak</t>
        </is>
      </c>
      <c r="C7" t="inlineStr">
        <is>
          <t>Reduces position size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Input</t>
        </is>
      </c>
      <c r="C1" s="1" t="inlineStr">
        <is>
          <t>Weight</t>
        </is>
      </c>
      <c r="D1" s="1" t="inlineStr">
        <is>
          <t>Weighted Score</t>
        </is>
      </c>
    </row>
    <row r="2">
      <c r="A2" t="inlineStr">
        <is>
          <t>Trend Strength</t>
        </is>
      </c>
      <c r="C2" t="n">
        <v>0.25</v>
      </c>
      <c r="D2">
        <f>B2*C2</f>
        <v/>
      </c>
    </row>
    <row r="3">
      <c r="A3" t="inlineStr">
        <is>
          <t>Structure Score</t>
        </is>
      </c>
      <c r="C3" t="n">
        <v>0.2</v>
      </c>
      <c r="D3">
        <f>B3*C3</f>
        <v/>
      </c>
    </row>
    <row r="4">
      <c r="A4" t="inlineStr">
        <is>
          <t>Volume Score</t>
        </is>
      </c>
      <c r="C4" t="n">
        <v>0.15</v>
      </c>
      <c r="D4">
        <f>B4*C4</f>
        <v/>
      </c>
    </row>
    <row r="5">
      <c r="A5" t="inlineStr">
        <is>
          <t>Risk Modifier</t>
        </is>
      </c>
      <c r="C5" t="n">
        <v>0.15</v>
      </c>
      <c r="D5">
        <f>B5*C5</f>
        <v/>
      </c>
    </row>
    <row r="6">
      <c r="A6" t="inlineStr">
        <is>
          <t>Confidence Score</t>
        </is>
      </c>
      <c r="C6" t="n">
        <v>0.15</v>
      </c>
      <c r="D6">
        <f>B6*C6</f>
        <v/>
      </c>
    </row>
    <row r="7">
      <c r="A7" t="inlineStr">
        <is>
          <t>Volatility Score</t>
        </is>
      </c>
      <c r="C7" t="n">
        <v>0.1</v>
      </c>
      <c r="D7">
        <f>B7*C7</f>
        <v/>
      </c>
    </row>
    <row r="8">
      <c r="A8" t="inlineStr">
        <is>
          <t>TOTAL_SCORE</t>
        </is>
      </c>
      <c r="D8">
        <f>SUM(D2:D7)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R Multiple</t>
        </is>
      </c>
      <c r="E1" s="1" t="inlineStr">
        <is>
          <t>Position Size</t>
        </is>
      </c>
      <c r="F1" s="1" t="inlineStr">
        <is>
          <t>PnL</t>
        </is>
      </c>
      <c r="G1" s="1" t="inlineStr">
        <is>
          <t>Equity</t>
        </is>
      </c>
    </row>
    <row r="2">
      <c r="A2" t="n">
        <v>1</v>
      </c>
      <c r="D2">
        <f>IF(B2="",0,(C2-B2)/B2)</f>
        <v/>
      </c>
      <c r="F2">
        <f>D2*E2</f>
        <v/>
      </c>
      <c r="G2">
        <f>IF(A2=1,10000, G1+F2)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 #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Risk %</t>
        </is>
      </c>
      <c r="E1" s="1" t="inlineStr">
        <is>
          <t>Expected Return</t>
        </is>
      </c>
    </row>
    <row r="2">
      <c r="A2" t="n">
        <v>1</v>
      </c>
      <c r="E2">
        <f>B2*C2*D2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</t>
        </is>
      </c>
      <c r="B1" s="1" t="inlineStr">
        <is>
          <t>ATR Moving Avg</t>
        </is>
      </c>
      <c r="C1" s="1" t="inlineStr">
        <is>
          <t>Volatility Ratio</t>
        </is>
      </c>
      <c r="D1" s="1" t="inlineStr">
        <is>
          <t>Regime</t>
        </is>
      </c>
    </row>
    <row r="2">
      <c r="C2">
        <f>IF(B2=0,0,A2/B2)</f>
        <v/>
      </c>
      <c r="D2">
        <f>IF(C2&gt;1.5,"HIGH",IF(C2&lt;0.7,"LOW","NORMAL"))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Base Risk %</t>
        </is>
      </c>
      <c r="E1" s="1" t="inlineStr">
        <is>
          <t>Adjusted Risk %</t>
        </is>
      </c>
    </row>
    <row r="2">
      <c r="C2">
        <f>IF(B2=0,0,(B2-A2)/B2)</f>
        <v/>
      </c>
      <c r="E2">
        <f>IF(C2&gt;0.10,B2*0.5,B2)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Trades</t>
        </is>
      </c>
      <c r="B1" s="1" t="inlineStr">
        <is>
          <t>Max Allowed</t>
        </is>
      </c>
      <c r="C1" s="1" t="inlineStr">
        <is>
          <t>Cluster Status</t>
        </is>
      </c>
    </row>
    <row r="2">
      <c r="C2">
        <f>IF(A2&gt;B2,"BLOCK_NEW_TRADES","ALLOW")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Target</t>
        </is>
      </c>
      <c r="D1" s="1" t="inlineStr">
        <is>
          <t>Adjustment Factor</t>
        </is>
      </c>
    </row>
    <row r="2">
      <c r="A2" t="inlineStr">
        <is>
          <t>Win Rate</t>
        </is>
      </c>
      <c r="D2">
        <f>IF(B2&lt;C2,0.9,1.05)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Random Win/Loss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Return</t>
        </is>
      </c>
    </row>
    <row r="2">
      <c r="A2" t="n">
        <v>1</v>
      </c>
      <c r="B2">
        <f>IF(RAND()&lt;0.55,1,-1)</f>
        <v/>
      </c>
      <c r="C2">
        <f>IF(B2=1,2,-1)</f>
        <v/>
      </c>
      <c r="D2" t="n">
        <v>0.01</v>
      </c>
      <c r="E2">
        <f>B2*C2*D2</f>
        <v/>
      </c>
    </row>
    <row r="3">
      <c r="A3" t="n">
        <v>2</v>
      </c>
      <c r="B3">
        <f>IF(RAND()&lt;0.55,1,-1)</f>
        <v/>
      </c>
      <c r="C3">
        <f>IF(B3=1,2,-1)</f>
        <v/>
      </c>
      <c r="D3" t="n">
        <v>0.01</v>
      </c>
      <c r="E3">
        <f>B3*C3*D3</f>
        <v/>
      </c>
    </row>
    <row r="4">
      <c r="A4" t="n">
        <v>3</v>
      </c>
      <c r="B4">
        <f>IF(RAND()&lt;0.55,1,-1)</f>
        <v/>
      </c>
      <c r="C4">
        <f>IF(B4=1,2,-1)</f>
        <v/>
      </c>
      <c r="D4" t="n">
        <v>0.01</v>
      </c>
      <c r="E4">
        <f>B4*C4*D4</f>
        <v/>
      </c>
    </row>
    <row r="5">
      <c r="A5" t="n">
        <v>4</v>
      </c>
      <c r="B5">
        <f>IF(RAND()&lt;0.55,1,-1)</f>
        <v/>
      </c>
      <c r="C5">
        <f>IF(B5=1,2,-1)</f>
        <v/>
      </c>
      <c r="D5" t="n">
        <v>0.01</v>
      </c>
      <c r="E5">
        <f>B5*C5*D5</f>
        <v/>
      </c>
    </row>
    <row r="6">
      <c r="A6" t="n">
        <v>5</v>
      </c>
      <c r="B6">
        <f>IF(RAND()&lt;0.55,1,-1)</f>
        <v/>
      </c>
      <c r="C6">
        <f>IF(B6=1,2,-1)</f>
        <v/>
      </c>
      <c r="D6" t="n">
        <v>0.01</v>
      </c>
      <c r="E6">
        <f>B6*C6*D6</f>
        <v/>
      </c>
    </row>
    <row r="7">
      <c r="A7" t="n">
        <v>6</v>
      </c>
      <c r="B7">
        <f>IF(RAND()&lt;0.55,1,-1)</f>
        <v/>
      </c>
      <c r="C7">
        <f>IF(B7=1,2,-1)</f>
        <v/>
      </c>
      <c r="D7" t="n">
        <v>0.01</v>
      </c>
      <c r="E7">
        <f>B7*C7*D7</f>
        <v/>
      </c>
    </row>
    <row r="8">
      <c r="A8" t="n">
        <v>7</v>
      </c>
      <c r="B8">
        <f>IF(RAND()&lt;0.55,1,-1)</f>
        <v/>
      </c>
      <c r="C8">
        <f>IF(B8=1,2,-1)</f>
        <v/>
      </c>
      <c r="D8" t="n">
        <v>0.01</v>
      </c>
      <c r="E8">
        <f>B8*C8*D8</f>
        <v/>
      </c>
    </row>
    <row r="9">
      <c r="A9" t="n">
        <v>8</v>
      </c>
      <c r="B9">
        <f>IF(RAND()&lt;0.55,1,-1)</f>
        <v/>
      </c>
      <c r="C9">
        <f>IF(B9=1,2,-1)</f>
        <v/>
      </c>
      <c r="D9" t="n">
        <v>0.01</v>
      </c>
      <c r="E9">
        <f>B9*C9*D9</f>
        <v/>
      </c>
    </row>
    <row r="10">
      <c r="A10" t="n">
        <v>9</v>
      </c>
      <c r="B10">
        <f>IF(RAND()&lt;0.55,1,-1)</f>
        <v/>
      </c>
      <c r="C10">
        <f>IF(B10=1,2,-1)</f>
        <v/>
      </c>
      <c r="D10" t="n">
        <v>0.01</v>
      </c>
      <c r="E10">
        <f>B10*C10*D10</f>
        <v/>
      </c>
    </row>
    <row r="11">
      <c r="A11" t="n">
        <v>10</v>
      </c>
      <c r="B11">
        <f>IF(RAND()&lt;0.55,1,-1)</f>
        <v/>
      </c>
      <c r="C11">
        <f>IF(B11=1,2,-1)</f>
        <v/>
      </c>
      <c r="D11" t="n">
        <v>0.01</v>
      </c>
      <c r="E11">
        <f>B11*C11*D11</f>
        <v/>
      </c>
    </row>
    <row r="12">
      <c r="A12" t="n">
        <v>11</v>
      </c>
      <c r="B12">
        <f>IF(RAND()&lt;0.55,1,-1)</f>
        <v/>
      </c>
      <c r="C12">
        <f>IF(B12=1,2,-1)</f>
        <v/>
      </c>
      <c r="D12" t="n">
        <v>0.01</v>
      </c>
      <c r="E12">
        <f>B12*C12*D12</f>
        <v/>
      </c>
    </row>
    <row r="13">
      <c r="A13" t="n">
        <v>12</v>
      </c>
      <c r="B13">
        <f>IF(RAND()&lt;0.55,1,-1)</f>
        <v/>
      </c>
      <c r="C13">
        <f>IF(B13=1,2,-1)</f>
        <v/>
      </c>
      <c r="D13" t="n">
        <v>0.01</v>
      </c>
      <c r="E13">
        <f>B13*C13*D13</f>
        <v/>
      </c>
    </row>
    <row r="14">
      <c r="A14" t="n">
        <v>13</v>
      </c>
      <c r="B14">
        <f>IF(RAND()&lt;0.55,1,-1)</f>
        <v/>
      </c>
      <c r="C14">
        <f>IF(B14=1,2,-1)</f>
        <v/>
      </c>
      <c r="D14" t="n">
        <v>0.01</v>
      </c>
      <c r="E14">
        <f>B14*C14*D14</f>
        <v/>
      </c>
    </row>
    <row r="15">
      <c r="A15" t="n">
        <v>14</v>
      </c>
      <c r="B15">
        <f>IF(RAND()&lt;0.55,1,-1)</f>
        <v/>
      </c>
      <c r="C15">
        <f>IF(B15=1,2,-1)</f>
        <v/>
      </c>
      <c r="D15" t="n">
        <v>0.01</v>
      </c>
      <c r="E15">
        <f>B15*C15*D15</f>
        <v/>
      </c>
    </row>
    <row r="16">
      <c r="A16" t="n">
        <v>15</v>
      </c>
      <c r="B16">
        <f>IF(RAND()&lt;0.55,1,-1)</f>
        <v/>
      </c>
      <c r="C16">
        <f>IF(B16=1,2,-1)</f>
        <v/>
      </c>
      <c r="D16" t="n">
        <v>0.01</v>
      </c>
      <c r="E16">
        <f>B16*C16*D16</f>
        <v/>
      </c>
    </row>
    <row r="17">
      <c r="A17" t="n">
        <v>16</v>
      </c>
      <c r="B17">
        <f>IF(RAND()&lt;0.55,1,-1)</f>
        <v/>
      </c>
      <c r="C17">
        <f>IF(B17=1,2,-1)</f>
        <v/>
      </c>
      <c r="D17" t="n">
        <v>0.01</v>
      </c>
      <c r="E17">
        <f>B17*C17*D17</f>
        <v/>
      </c>
    </row>
    <row r="18">
      <c r="A18" t="n">
        <v>17</v>
      </c>
      <c r="B18">
        <f>IF(RAND()&lt;0.55,1,-1)</f>
        <v/>
      </c>
      <c r="C18">
        <f>IF(B18=1,2,-1)</f>
        <v/>
      </c>
      <c r="D18" t="n">
        <v>0.01</v>
      </c>
      <c r="E18">
        <f>B18*C18*D18</f>
        <v/>
      </c>
    </row>
    <row r="19">
      <c r="A19" t="n">
        <v>18</v>
      </c>
      <c r="B19">
        <f>IF(RAND()&lt;0.55,1,-1)</f>
        <v/>
      </c>
      <c r="C19">
        <f>IF(B19=1,2,-1)</f>
        <v/>
      </c>
      <c r="D19" t="n">
        <v>0.01</v>
      </c>
      <c r="E19">
        <f>B19*C19*D19</f>
        <v/>
      </c>
    </row>
    <row r="20">
      <c r="A20" t="n">
        <v>19</v>
      </c>
      <c r="B20">
        <f>IF(RAND()&lt;0.55,1,-1)</f>
        <v/>
      </c>
      <c r="C20">
        <f>IF(B20=1,2,-1)</f>
        <v/>
      </c>
      <c r="D20" t="n">
        <v>0.01</v>
      </c>
      <c r="E20">
        <f>B20*C20*D20</f>
        <v/>
      </c>
    </row>
    <row r="21">
      <c r="A21" t="n">
        <v>20</v>
      </c>
      <c r="B21">
        <f>IF(RAND()&lt;0.55,1,-1)</f>
        <v/>
      </c>
      <c r="C21">
        <f>IF(B21=1,2,-1)</f>
        <v/>
      </c>
      <c r="D21" t="n">
        <v>0.01</v>
      </c>
      <c r="E21">
        <f>B21*C21*D21</f>
        <v/>
      </c>
    </row>
    <row r="22">
      <c r="A22" t="n">
        <v>21</v>
      </c>
      <c r="B22">
        <f>IF(RAND()&lt;0.55,1,-1)</f>
        <v/>
      </c>
      <c r="C22">
        <f>IF(B22=1,2,-1)</f>
        <v/>
      </c>
      <c r="D22" t="n">
        <v>0.01</v>
      </c>
      <c r="E22">
        <f>B22*C22*D22</f>
        <v/>
      </c>
    </row>
    <row r="23">
      <c r="A23" t="n">
        <v>22</v>
      </c>
      <c r="B23">
        <f>IF(RAND()&lt;0.55,1,-1)</f>
        <v/>
      </c>
      <c r="C23">
        <f>IF(B23=1,2,-1)</f>
        <v/>
      </c>
      <c r="D23" t="n">
        <v>0.01</v>
      </c>
      <c r="E23">
        <f>B23*C23*D23</f>
        <v/>
      </c>
    </row>
    <row r="24">
      <c r="A24" t="n">
        <v>23</v>
      </c>
      <c r="B24">
        <f>IF(RAND()&lt;0.55,1,-1)</f>
        <v/>
      </c>
      <c r="C24">
        <f>IF(B24=1,2,-1)</f>
        <v/>
      </c>
      <c r="D24" t="n">
        <v>0.01</v>
      </c>
      <c r="E24">
        <f>B24*C24*D24</f>
        <v/>
      </c>
    </row>
    <row r="25">
      <c r="A25" t="n">
        <v>24</v>
      </c>
      <c r="B25">
        <f>IF(RAND()&lt;0.55,1,-1)</f>
        <v/>
      </c>
      <c r="C25">
        <f>IF(B25=1,2,-1)</f>
        <v/>
      </c>
      <c r="D25" t="n">
        <v>0.01</v>
      </c>
      <c r="E25">
        <f>B25*C25*D25</f>
        <v/>
      </c>
    </row>
    <row r="26">
      <c r="A26" t="n">
        <v>25</v>
      </c>
      <c r="B26">
        <f>IF(RAND()&lt;0.55,1,-1)</f>
        <v/>
      </c>
      <c r="C26">
        <f>IF(B26=1,2,-1)</f>
        <v/>
      </c>
      <c r="D26" t="n">
        <v>0.01</v>
      </c>
      <c r="E26">
        <f>B26*C26*D26</f>
        <v/>
      </c>
    </row>
    <row r="27">
      <c r="A27" t="n">
        <v>26</v>
      </c>
      <c r="B27">
        <f>IF(RAND()&lt;0.55,1,-1)</f>
        <v/>
      </c>
      <c r="C27">
        <f>IF(B27=1,2,-1)</f>
        <v/>
      </c>
      <c r="D27" t="n">
        <v>0.01</v>
      </c>
      <c r="E27">
        <f>B27*C27*D27</f>
        <v/>
      </c>
    </row>
    <row r="28">
      <c r="A28" t="n">
        <v>27</v>
      </c>
      <c r="B28">
        <f>IF(RAND()&lt;0.55,1,-1)</f>
        <v/>
      </c>
      <c r="C28">
        <f>IF(B28=1,2,-1)</f>
        <v/>
      </c>
      <c r="D28" t="n">
        <v>0.01</v>
      </c>
      <c r="E28">
        <f>B28*C28*D28</f>
        <v/>
      </c>
    </row>
    <row r="29">
      <c r="A29" t="n">
        <v>28</v>
      </c>
      <c r="B29">
        <f>IF(RAND()&lt;0.55,1,-1)</f>
        <v/>
      </c>
      <c r="C29">
        <f>IF(B29=1,2,-1)</f>
        <v/>
      </c>
      <c r="D29" t="n">
        <v>0.01</v>
      </c>
      <c r="E29">
        <f>B29*C29*D29</f>
        <v/>
      </c>
    </row>
    <row r="30">
      <c r="A30" t="n">
        <v>29</v>
      </c>
      <c r="B30">
        <f>IF(RAND()&lt;0.55,1,-1)</f>
        <v/>
      </c>
      <c r="C30">
        <f>IF(B30=1,2,-1)</f>
        <v/>
      </c>
      <c r="D30" t="n">
        <v>0.01</v>
      </c>
      <c r="E30">
        <f>B30*C30*D30</f>
        <v/>
      </c>
    </row>
    <row r="31">
      <c r="A31" t="n">
        <v>30</v>
      </c>
      <c r="B31">
        <f>IF(RAND()&lt;0.55,1,-1)</f>
        <v/>
      </c>
      <c r="C31">
        <f>IF(B31=1,2,-1)</f>
        <v/>
      </c>
      <c r="D31" t="n">
        <v>0.01</v>
      </c>
      <c r="E31">
        <f>B31*C31*D31</f>
        <v/>
      </c>
    </row>
    <row r="32">
      <c r="A32" t="n">
        <v>31</v>
      </c>
      <c r="B32">
        <f>IF(RAND()&lt;0.55,1,-1)</f>
        <v/>
      </c>
      <c r="C32">
        <f>IF(B32=1,2,-1)</f>
        <v/>
      </c>
      <c r="D32" t="n">
        <v>0.01</v>
      </c>
      <c r="E32">
        <f>B32*C32*D32</f>
        <v/>
      </c>
    </row>
    <row r="33">
      <c r="A33" t="n">
        <v>32</v>
      </c>
      <c r="B33">
        <f>IF(RAND()&lt;0.55,1,-1)</f>
        <v/>
      </c>
      <c r="C33">
        <f>IF(B33=1,2,-1)</f>
        <v/>
      </c>
      <c r="D33" t="n">
        <v>0.01</v>
      </c>
      <c r="E33">
        <f>B33*C33*D33</f>
        <v/>
      </c>
    </row>
    <row r="34">
      <c r="A34" t="n">
        <v>33</v>
      </c>
      <c r="B34">
        <f>IF(RAND()&lt;0.55,1,-1)</f>
        <v/>
      </c>
      <c r="C34">
        <f>IF(B34=1,2,-1)</f>
        <v/>
      </c>
      <c r="D34" t="n">
        <v>0.01</v>
      </c>
      <c r="E34">
        <f>B34*C34*D34</f>
        <v/>
      </c>
    </row>
    <row r="35">
      <c r="A35" t="n">
        <v>34</v>
      </c>
      <c r="B35">
        <f>IF(RAND()&lt;0.55,1,-1)</f>
        <v/>
      </c>
      <c r="C35">
        <f>IF(B35=1,2,-1)</f>
        <v/>
      </c>
      <c r="D35" t="n">
        <v>0.01</v>
      </c>
      <c r="E35">
        <f>B35*C35*D35</f>
        <v/>
      </c>
    </row>
    <row r="36">
      <c r="A36" t="n">
        <v>35</v>
      </c>
      <c r="B36">
        <f>IF(RAND()&lt;0.55,1,-1)</f>
        <v/>
      </c>
      <c r="C36">
        <f>IF(B36=1,2,-1)</f>
        <v/>
      </c>
      <c r="D36" t="n">
        <v>0.01</v>
      </c>
      <c r="E36">
        <f>B36*C36*D36</f>
        <v/>
      </c>
    </row>
    <row r="37">
      <c r="A37" t="n">
        <v>36</v>
      </c>
      <c r="B37">
        <f>IF(RAND()&lt;0.55,1,-1)</f>
        <v/>
      </c>
      <c r="C37">
        <f>IF(B37=1,2,-1)</f>
        <v/>
      </c>
      <c r="D37" t="n">
        <v>0.01</v>
      </c>
      <c r="E37">
        <f>B37*C37*D37</f>
        <v/>
      </c>
    </row>
    <row r="38">
      <c r="A38" t="n">
        <v>37</v>
      </c>
      <c r="B38">
        <f>IF(RAND()&lt;0.55,1,-1)</f>
        <v/>
      </c>
      <c r="C38">
        <f>IF(B38=1,2,-1)</f>
        <v/>
      </c>
      <c r="D38" t="n">
        <v>0.01</v>
      </c>
      <c r="E38">
        <f>B38*C38*D38</f>
        <v/>
      </c>
    </row>
    <row r="39">
      <c r="A39" t="n">
        <v>38</v>
      </c>
      <c r="B39">
        <f>IF(RAND()&lt;0.55,1,-1)</f>
        <v/>
      </c>
      <c r="C39">
        <f>IF(B39=1,2,-1)</f>
        <v/>
      </c>
      <c r="D39" t="n">
        <v>0.01</v>
      </c>
      <c r="E39">
        <f>B39*C39*D39</f>
        <v/>
      </c>
    </row>
    <row r="40">
      <c r="A40" t="n">
        <v>39</v>
      </c>
      <c r="B40">
        <f>IF(RAND()&lt;0.55,1,-1)</f>
        <v/>
      </c>
      <c r="C40">
        <f>IF(B40=1,2,-1)</f>
        <v/>
      </c>
      <c r="D40" t="n">
        <v>0.01</v>
      </c>
      <c r="E40">
        <f>B40*C40*D40</f>
        <v/>
      </c>
    </row>
    <row r="41">
      <c r="A41" t="n">
        <v>40</v>
      </c>
      <c r="B41">
        <f>IF(RAND()&lt;0.55,1,-1)</f>
        <v/>
      </c>
      <c r="C41">
        <f>IF(B41=1,2,-1)</f>
        <v/>
      </c>
      <c r="D41" t="n">
        <v>0.01</v>
      </c>
      <c r="E41">
        <f>B41*C41*D41</f>
        <v/>
      </c>
    </row>
    <row r="42">
      <c r="A42" t="n">
        <v>41</v>
      </c>
      <c r="B42">
        <f>IF(RAND()&lt;0.55,1,-1)</f>
        <v/>
      </c>
      <c r="C42">
        <f>IF(B42=1,2,-1)</f>
        <v/>
      </c>
      <c r="D42" t="n">
        <v>0.01</v>
      </c>
      <c r="E42">
        <f>B42*C42*D42</f>
        <v/>
      </c>
    </row>
    <row r="43">
      <c r="A43" t="n">
        <v>42</v>
      </c>
      <c r="B43">
        <f>IF(RAND()&lt;0.55,1,-1)</f>
        <v/>
      </c>
      <c r="C43">
        <f>IF(B43=1,2,-1)</f>
        <v/>
      </c>
      <c r="D43" t="n">
        <v>0.01</v>
      </c>
      <c r="E43">
        <f>B43*C43*D43</f>
        <v/>
      </c>
    </row>
    <row r="44">
      <c r="A44" t="n">
        <v>43</v>
      </c>
      <c r="B44">
        <f>IF(RAND()&lt;0.55,1,-1)</f>
        <v/>
      </c>
      <c r="C44">
        <f>IF(B44=1,2,-1)</f>
        <v/>
      </c>
      <c r="D44" t="n">
        <v>0.01</v>
      </c>
      <c r="E44">
        <f>B44*C44*D44</f>
        <v/>
      </c>
    </row>
    <row r="45">
      <c r="A45" t="n">
        <v>44</v>
      </c>
      <c r="B45">
        <f>IF(RAND()&lt;0.55,1,-1)</f>
        <v/>
      </c>
      <c r="C45">
        <f>IF(B45=1,2,-1)</f>
        <v/>
      </c>
      <c r="D45" t="n">
        <v>0.01</v>
      </c>
      <c r="E45">
        <f>B45*C45*D45</f>
        <v/>
      </c>
    </row>
    <row r="46">
      <c r="A46" t="n">
        <v>45</v>
      </c>
      <c r="B46">
        <f>IF(RAND()&lt;0.55,1,-1)</f>
        <v/>
      </c>
      <c r="C46">
        <f>IF(B46=1,2,-1)</f>
        <v/>
      </c>
      <c r="D46" t="n">
        <v>0.01</v>
      </c>
      <c r="E46">
        <f>B46*C46*D46</f>
        <v/>
      </c>
    </row>
    <row r="47">
      <c r="A47" t="n">
        <v>46</v>
      </c>
      <c r="B47">
        <f>IF(RAND()&lt;0.55,1,-1)</f>
        <v/>
      </c>
      <c r="C47">
        <f>IF(B47=1,2,-1)</f>
        <v/>
      </c>
      <c r="D47" t="n">
        <v>0.01</v>
      </c>
      <c r="E47">
        <f>B47*C47*D47</f>
        <v/>
      </c>
    </row>
    <row r="48">
      <c r="A48" t="n">
        <v>47</v>
      </c>
      <c r="B48">
        <f>IF(RAND()&lt;0.55,1,-1)</f>
        <v/>
      </c>
      <c r="C48">
        <f>IF(B48=1,2,-1)</f>
        <v/>
      </c>
      <c r="D48" t="n">
        <v>0.01</v>
      </c>
      <c r="E48">
        <f>B48*C48*D48</f>
        <v/>
      </c>
    </row>
    <row r="49">
      <c r="A49" t="n">
        <v>48</v>
      </c>
      <c r="B49">
        <f>IF(RAND()&lt;0.55,1,-1)</f>
        <v/>
      </c>
      <c r="C49">
        <f>IF(B49=1,2,-1)</f>
        <v/>
      </c>
      <c r="D49" t="n">
        <v>0.01</v>
      </c>
      <c r="E49">
        <f>B49*C49*D49</f>
        <v/>
      </c>
    </row>
    <row r="50">
      <c r="A50" t="n">
        <v>49</v>
      </c>
      <c r="B50">
        <f>IF(RAND()&lt;0.55,1,-1)</f>
        <v/>
      </c>
      <c r="C50">
        <f>IF(B50=1,2,-1)</f>
        <v/>
      </c>
      <c r="D50" t="n">
        <v>0.01</v>
      </c>
      <c r="E50">
        <f>B50*C50*D50</f>
        <v/>
      </c>
    </row>
    <row r="51">
      <c r="A51" t="n">
        <v>50</v>
      </c>
      <c r="B51">
        <f>IF(RAND()&lt;0.55,1,-1)</f>
        <v/>
      </c>
      <c r="C51">
        <f>IF(B51=1,2,-1)</f>
        <v/>
      </c>
      <c r="D51" t="n">
        <v>0.01</v>
      </c>
      <c r="E51">
        <f>B51*C51*D51</f>
        <v/>
      </c>
    </row>
    <row r="52">
      <c r="A52" t="n">
        <v>51</v>
      </c>
      <c r="B52">
        <f>IF(RAND()&lt;0.55,1,-1)</f>
        <v/>
      </c>
      <c r="C52">
        <f>IF(B52=1,2,-1)</f>
        <v/>
      </c>
      <c r="D52" t="n">
        <v>0.01</v>
      </c>
      <c r="E52">
        <f>B52*C52*D52</f>
        <v/>
      </c>
    </row>
    <row r="53">
      <c r="A53" t="n">
        <v>52</v>
      </c>
      <c r="B53">
        <f>IF(RAND()&lt;0.55,1,-1)</f>
        <v/>
      </c>
      <c r="C53">
        <f>IF(B53=1,2,-1)</f>
        <v/>
      </c>
      <c r="D53" t="n">
        <v>0.01</v>
      </c>
      <c r="E53">
        <f>B53*C53*D53</f>
        <v/>
      </c>
    </row>
    <row r="54">
      <c r="A54" t="n">
        <v>53</v>
      </c>
      <c r="B54">
        <f>IF(RAND()&lt;0.55,1,-1)</f>
        <v/>
      </c>
      <c r="C54">
        <f>IF(B54=1,2,-1)</f>
        <v/>
      </c>
      <c r="D54" t="n">
        <v>0.01</v>
      </c>
      <c r="E54">
        <f>B54*C54*D54</f>
        <v/>
      </c>
    </row>
    <row r="55">
      <c r="A55" t="n">
        <v>54</v>
      </c>
      <c r="B55">
        <f>IF(RAND()&lt;0.55,1,-1)</f>
        <v/>
      </c>
      <c r="C55">
        <f>IF(B55=1,2,-1)</f>
        <v/>
      </c>
      <c r="D55" t="n">
        <v>0.01</v>
      </c>
      <c r="E55">
        <f>B55*C55*D55</f>
        <v/>
      </c>
    </row>
    <row r="56">
      <c r="A56" t="n">
        <v>55</v>
      </c>
      <c r="B56">
        <f>IF(RAND()&lt;0.55,1,-1)</f>
        <v/>
      </c>
      <c r="C56">
        <f>IF(B56=1,2,-1)</f>
        <v/>
      </c>
      <c r="D56" t="n">
        <v>0.01</v>
      </c>
      <c r="E56">
        <f>B56*C56*D56</f>
        <v/>
      </c>
    </row>
    <row r="57">
      <c r="A57" t="n">
        <v>56</v>
      </c>
      <c r="B57">
        <f>IF(RAND()&lt;0.55,1,-1)</f>
        <v/>
      </c>
      <c r="C57">
        <f>IF(B57=1,2,-1)</f>
        <v/>
      </c>
      <c r="D57" t="n">
        <v>0.01</v>
      </c>
      <c r="E57">
        <f>B57*C57*D57</f>
        <v/>
      </c>
    </row>
    <row r="58">
      <c r="A58" t="n">
        <v>57</v>
      </c>
      <c r="B58">
        <f>IF(RAND()&lt;0.55,1,-1)</f>
        <v/>
      </c>
      <c r="C58">
        <f>IF(B58=1,2,-1)</f>
        <v/>
      </c>
      <c r="D58" t="n">
        <v>0.01</v>
      </c>
      <c r="E58">
        <f>B58*C58*D58</f>
        <v/>
      </c>
    </row>
    <row r="59">
      <c r="A59" t="n">
        <v>58</v>
      </c>
      <c r="B59">
        <f>IF(RAND()&lt;0.55,1,-1)</f>
        <v/>
      </c>
      <c r="C59">
        <f>IF(B59=1,2,-1)</f>
        <v/>
      </c>
      <c r="D59" t="n">
        <v>0.01</v>
      </c>
      <c r="E59">
        <f>B59*C59*D59</f>
        <v/>
      </c>
    </row>
    <row r="60">
      <c r="A60" t="n">
        <v>59</v>
      </c>
      <c r="B60">
        <f>IF(RAND()&lt;0.55,1,-1)</f>
        <v/>
      </c>
      <c r="C60">
        <f>IF(B60=1,2,-1)</f>
        <v/>
      </c>
      <c r="D60" t="n">
        <v>0.01</v>
      </c>
      <c r="E60">
        <f>B60*C60*D60</f>
        <v/>
      </c>
    </row>
    <row r="61">
      <c r="A61" t="n">
        <v>60</v>
      </c>
      <c r="B61">
        <f>IF(RAND()&lt;0.55,1,-1)</f>
        <v/>
      </c>
      <c r="C61">
        <f>IF(B61=1,2,-1)</f>
        <v/>
      </c>
      <c r="D61" t="n">
        <v>0.01</v>
      </c>
      <c r="E61">
        <f>B61*C61*D61</f>
        <v/>
      </c>
    </row>
    <row r="62">
      <c r="A62" t="n">
        <v>61</v>
      </c>
      <c r="B62">
        <f>IF(RAND()&lt;0.55,1,-1)</f>
        <v/>
      </c>
      <c r="C62">
        <f>IF(B62=1,2,-1)</f>
        <v/>
      </c>
      <c r="D62" t="n">
        <v>0.01</v>
      </c>
      <c r="E62">
        <f>B62*C62*D62</f>
        <v/>
      </c>
    </row>
    <row r="63">
      <c r="A63" t="n">
        <v>62</v>
      </c>
      <c r="B63">
        <f>IF(RAND()&lt;0.55,1,-1)</f>
        <v/>
      </c>
      <c r="C63">
        <f>IF(B63=1,2,-1)</f>
        <v/>
      </c>
      <c r="D63" t="n">
        <v>0.01</v>
      </c>
      <c r="E63">
        <f>B63*C63*D63</f>
        <v/>
      </c>
    </row>
    <row r="64">
      <c r="A64" t="n">
        <v>63</v>
      </c>
      <c r="B64">
        <f>IF(RAND()&lt;0.55,1,-1)</f>
        <v/>
      </c>
      <c r="C64">
        <f>IF(B64=1,2,-1)</f>
        <v/>
      </c>
      <c r="D64" t="n">
        <v>0.01</v>
      </c>
      <c r="E64">
        <f>B64*C64*D64</f>
        <v/>
      </c>
    </row>
    <row r="65">
      <c r="A65" t="n">
        <v>64</v>
      </c>
      <c r="B65">
        <f>IF(RAND()&lt;0.55,1,-1)</f>
        <v/>
      </c>
      <c r="C65">
        <f>IF(B65=1,2,-1)</f>
        <v/>
      </c>
      <c r="D65" t="n">
        <v>0.01</v>
      </c>
      <c r="E65">
        <f>B65*C65*D65</f>
        <v/>
      </c>
    </row>
    <row r="66">
      <c r="A66" t="n">
        <v>65</v>
      </c>
      <c r="B66">
        <f>IF(RAND()&lt;0.55,1,-1)</f>
        <v/>
      </c>
      <c r="C66">
        <f>IF(B66=1,2,-1)</f>
        <v/>
      </c>
      <c r="D66" t="n">
        <v>0.01</v>
      </c>
      <c r="E66">
        <f>B66*C66*D66</f>
        <v/>
      </c>
    </row>
    <row r="67">
      <c r="A67" t="n">
        <v>66</v>
      </c>
      <c r="B67">
        <f>IF(RAND()&lt;0.55,1,-1)</f>
        <v/>
      </c>
      <c r="C67">
        <f>IF(B67=1,2,-1)</f>
        <v/>
      </c>
      <c r="D67" t="n">
        <v>0.01</v>
      </c>
      <c r="E67">
        <f>B67*C67*D67</f>
        <v/>
      </c>
    </row>
    <row r="68">
      <c r="A68" t="n">
        <v>67</v>
      </c>
      <c r="B68">
        <f>IF(RAND()&lt;0.55,1,-1)</f>
        <v/>
      </c>
      <c r="C68">
        <f>IF(B68=1,2,-1)</f>
        <v/>
      </c>
      <c r="D68" t="n">
        <v>0.01</v>
      </c>
      <c r="E68">
        <f>B68*C68*D68</f>
        <v/>
      </c>
    </row>
    <row r="69">
      <c r="A69" t="n">
        <v>68</v>
      </c>
      <c r="B69">
        <f>IF(RAND()&lt;0.55,1,-1)</f>
        <v/>
      </c>
      <c r="C69">
        <f>IF(B69=1,2,-1)</f>
        <v/>
      </c>
      <c r="D69" t="n">
        <v>0.01</v>
      </c>
      <c r="E69">
        <f>B69*C69*D69</f>
        <v/>
      </c>
    </row>
    <row r="70">
      <c r="A70" t="n">
        <v>69</v>
      </c>
      <c r="B70">
        <f>IF(RAND()&lt;0.55,1,-1)</f>
        <v/>
      </c>
      <c r="C70">
        <f>IF(B70=1,2,-1)</f>
        <v/>
      </c>
      <c r="D70" t="n">
        <v>0.01</v>
      </c>
      <c r="E70">
        <f>B70*C70*D70</f>
        <v/>
      </c>
    </row>
    <row r="71">
      <c r="A71" t="n">
        <v>70</v>
      </c>
      <c r="B71">
        <f>IF(RAND()&lt;0.55,1,-1)</f>
        <v/>
      </c>
      <c r="C71">
        <f>IF(B71=1,2,-1)</f>
        <v/>
      </c>
      <c r="D71" t="n">
        <v>0.01</v>
      </c>
      <c r="E71">
        <f>B71*C71*D71</f>
        <v/>
      </c>
    </row>
    <row r="72">
      <c r="A72" t="n">
        <v>71</v>
      </c>
      <c r="B72">
        <f>IF(RAND()&lt;0.55,1,-1)</f>
        <v/>
      </c>
      <c r="C72">
        <f>IF(B72=1,2,-1)</f>
        <v/>
      </c>
      <c r="D72" t="n">
        <v>0.01</v>
      </c>
      <c r="E72">
        <f>B72*C72*D72</f>
        <v/>
      </c>
    </row>
    <row r="73">
      <c r="A73" t="n">
        <v>72</v>
      </c>
      <c r="B73">
        <f>IF(RAND()&lt;0.55,1,-1)</f>
        <v/>
      </c>
      <c r="C73">
        <f>IF(B73=1,2,-1)</f>
        <v/>
      </c>
      <c r="D73" t="n">
        <v>0.01</v>
      </c>
      <c r="E73">
        <f>B73*C73*D73</f>
        <v/>
      </c>
    </row>
    <row r="74">
      <c r="A74" t="n">
        <v>73</v>
      </c>
      <c r="B74">
        <f>IF(RAND()&lt;0.55,1,-1)</f>
        <v/>
      </c>
      <c r="C74">
        <f>IF(B74=1,2,-1)</f>
        <v/>
      </c>
      <c r="D74" t="n">
        <v>0.01</v>
      </c>
      <c r="E74">
        <f>B74*C74*D74</f>
        <v/>
      </c>
    </row>
    <row r="75">
      <c r="A75" t="n">
        <v>74</v>
      </c>
      <c r="B75">
        <f>IF(RAND()&lt;0.55,1,-1)</f>
        <v/>
      </c>
      <c r="C75">
        <f>IF(B75=1,2,-1)</f>
        <v/>
      </c>
      <c r="D75" t="n">
        <v>0.01</v>
      </c>
      <c r="E75">
        <f>B75*C75*D75</f>
        <v/>
      </c>
    </row>
    <row r="76">
      <c r="A76" t="n">
        <v>75</v>
      </c>
      <c r="B76">
        <f>IF(RAND()&lt;0.55,1,-1)</f>
        <v/>
      </c>
      <c r="C76">
        <f>IF(B76=1,2,-1)</f>
        <v/>
      </c>
      <c r="D76" t="n">
        <v>0.01</v>
      </c>
      <c r="E76">
        <f>B76*C76*D76</f>
        <v/>
      </c>
    </row>
    <row r="77">
      <c r="A77" t="n">
        <v>76</v>
      </c>
      <c r="B77">
        <f>IF(RAND()&lt;0.55,1,-1)</f>
        <v/>
      </c>
      <c r="C77">
        <f>IF(B77=1,2,-1)</f>
        <v/>
      </c>
      <c r="D77" t="n">
        <v>0.01</v>
      </c>
      <c r="E77">
        <f>B77*C77*D77</f>
        <v/>
      </c>
    </row>
    <row r="78">
      <c r="A78" t="n">
        <v>77</v>
      </c>
      <c r="B78">
        <f>IF(RAND()&lt;0.55,1,-1)</f>
        <v/>
      </c>
      <c r="C78">
        <f>IF(B78=1,2,-1)</f>
        <v/>
      </c>
      <c r="D78" t="n">
        <v>0.01</v>
      </c>
      <c r="E78">
        <f>B78*C78*D78</f>
        <v/>
      </c>
    </row>
    <row r="79">
      <c r="A79" t="n">
        <v>78</v>
      </c>
      <c r="B79">
        <f>IF(RAND()&lt;0.55,1,-1)</f>
        <v/>
      </c>
      <c r="C79">
        <f>IF(B79=1,2,-1)</f>
        <v/>
      </c>
      <c r="D79" t="n">
        <v>0.01</v>
      </c>
      <c r="E79">
        <f>B79*C79*D79</f>
        <v/>
      </c>
    </row>
    <row r="80">
      <c r="A80" t="n">
        <v>79</v>
      </c>
      <c r="B80">
        <f>IF(RAND()&lt;0.55,1,-1)</f>
        <v/>
      </c>
      <c r="C80">
        <f>IF(B80=1,2,-1)</f>
        <v/>
      </c>
      <c r="D80" t="n">
        <v>0.01</v>
      </c>
      <c r="E80">
        <f>B80*C80*D80</f>
        <v/>
      </c>
    </row>
    <row r="81">
      <c r="A81" t="n">
        <v>80</v>
      </c>
      <c r="B81">
        <f>IF(RAND()&lt;0.55,1,-1)</f>
        <v/>
      </c>
      <c r="C81">
        <f>IF(B81=1,2,-1)</f>
        <v/>
      </c>
      <c r="D81" t="n">
        <v>0.01</v>
      </c>
      <c r="E81">
        <f>B81*C81*D81</f>
        <v/>
      </c>
    </row>
    <row r="82">
      <c r="A82" t="n">
        <v>81</v>
      </c>
      <c r="B82">
        <f>IF(RAND()&lt;0.55,1,-1)</f>
        <v/>
      </c>
      <c r="C82">
        <f>IF(B82=1,2,-1)</f>
        <v/>
      </c>
      <c r="D82" t="n">
        <v>0.01</v>
      </c>
      <c r="E82">
        <f>B82*C82*D82</f>
        <v/>
      </c>
    </row>
    <row r="83">
      <c r="A83" t="n">
        <v>82</v>
      </c>
      <c r="B83">
        <f>IF(RAND()&lt;0.55,1,-1)</f>
        <v/>
      </c>
      <c r="C83">
        <f>IF(B83=1,2,-1)</f>
        <v/>
      </c>
      <c r="D83" t="n">
        <v>0.01</v>
      </c>
      <c r="E83">
        <f>B83*C83*D83</f>
        <v/>
      </c>
    </row>
    <row r="84">
      <c r="A84" t="n">
        <v>83</v>
      </c>
      <c r="B84">
        <f>IF(RAND()&lt;0.55,1,-1)</f>
        <v/>
      </c>
      <c r="C84">
        <f>IF(B84=1,2,-1)</f>
        <v/>
      </c>
      <c r="D84" t="n">
        <v>0.01</v>
      </c>
      <c r="E84">
        <f>B84*C84*D84</f>
        <v/>
      </c>
    </row>
    <row r="85">
      <c r="A85" t="n">
        <v>84</v>
      </c>
      <c r="B85">
        <f>IF(RAND()&lt;0.55,1,-1)</f>
        <v/>
      </c>
      <c r="C85">
        <f>IF(B85=1,2,-1)</f>
        <v/>
      </c>
      <c r="D85" t="n">
        <v>0.01</v>
      </c>
      <c r="E85">
        <f>B85*C85*D85</f>
        <v/>
      </c>
    </row>
    <row r="86">
      <c r="A86" t="n">
        <v>85</v>
      </c>
      <c r="B86">
        <f>IF(RAND()&lt;0.55,1,-1)</f>
        <v/>
      </c>
      <c r="C86">
        <f>IF(B86=1,2,-1)</f>
        <v/>
      </c>
      <c r="D86" t="n">
        <v>0.01</v>
      </c>
      <c r="E86">
        <f>B86*C86*D86</f>
        <v/>
      </c>
    </row>
    <row r="87">
      <c r="A87" t="n">
        <v>86</v>
      </c>
      <c r="B87">
        <f>IF(RAND()&lt;0.55,1,-1)</f>
        <v/>
      </c>
      <c r="C87">
        <f>IF(B87=1,2,-1)</f>
        <v/>
      </c>
      <c r="D87" t="n">
        <v>0.01</v>
      </c>
      <c r="E87">
        <f>B87*C87*D87</f>
        <v/>
      </c>
    </row>
    <row r="88">
      <c r="A88" t="n">
        <v>87</v>
      </c>
      <c r="B88">
        <f>IF(RAND()&lt;0.55,1,-1)</f>
        <v/>
      </c>
      <c r="C88">
        <f>IF(B88=1,2,-1)</f>
        <v/>
      </c>
      <c r="D88" t="n">
        <v>0.01</v>
      </c>
      <c r="E88">
        <f>B88*C88*D88</f>
        <v/>
      </c>
    </row>
    <row r="89">
      <c r="A89" t="n">
        <v>88</v>
      </c>
      <c r="B89">
        <f>IF(RAND()&lt;0.55,1,-1)</f>
        <v/>
      </c>
      <c r="C89">
        <f>IF(B89=1,2,-1)</f>
        <v/>
      </c>
      <c r="D89" t="n">
        <v>0.01</v>
      </c>
      <c r="E89">
        <f>B89*C89*D89</f>
        <v/>
      </c>
    </row>
    <row r="90">
      <c r="A90" t="n">
        <v>89</v>
      </c>
      <c r="B90">
        <f>IF(RAND()&lt;0.55,1,-1)</f>
        <v/>
      </c>
      <c r="C90">
        <f>IF(B90=1,2,-1)</f>
        <v/>
      </c>
      <c r="D90" t="n">
        <v>0.01</v>
      </c>
      <c r="E90">
        <f>B90*C90*D90</f>
        <v/>
      </c>
    </row>
    <row r="91">
      <c r="A91" t="n">
        <v>90</v>
      </c>
      <c r="B91">
        <f>IF(RAND()&lt;0.55,1,-1)</f>
        <v/>
      </c>
      <c r="C91">
        <f>IF(B91=1,2,-1)</f>
        <v/>
      </c>
      <c r="D91" t="n">
        <v>0.01</v>
      </c>
      <c r="E91">
        <f>B91*C91*D91</f>
        <v/>
      </c>
    </row>
    <row r="92">
      <c r="A92" t="n">
        <v>91</v>
      </c>
      <c r="B92">
        <f>IF(RAND()&lt;0.55,1,-1)</f>
        <v/>
      </c>
      <c r="C92">
        <f>IF(B92=1,2,-1)</f>
        <v/>
      </c>
      <c r="D92" t="n">
        <v>0.01</v>
      </c>
      <c r="E92">
        <f>B92*C92*D92</f>
        <v/>
      </c>
    </row>
    <row r="93">
      <c r="A93" t="n">
        <v>92</v>
      </c>
      <c r="B93">
        <f>IF(RAND()&lt;0.55,1,-1)</f>
        <v/>
      </c>
      <c r="C93">
        <f>IF(B93=1,2,-1)</f>
        <v/>
      </c>
      <c r="D93" t="n">
        <v>0.01</v>
      </c>
      <c r="E93">
        <f>B93*C93*D93</f>
        <v/>
      </c>
    </row>
    <row r="94">
      <c r="A94" t="n">
        <v>93</v>
      </c>
      <c r="B94">
        <f>IF(RAND()&lt;0.55,1,-1)</f>
        <v/>
      </c>
      <c r="C94">
        <f>IF(B94=1,2,-1)</f>
        <v/>
      </c>
      <c r="D94" t="n">
        <v>0.01</v>
      </c>
      <c r="E94">
        <f>B94*C94*D94</f>
        <v/>
      </c>
    </row>
    <row r="95">
      <c r="A95" t="n">
        <v>94</v>
      </c>
      <c r="B95">
        <f>IF(RAND()&lt;0.55,1,-1)</f>
        <v/>
      </c>
      <c r="C95">
        <f>IF(B95=1,2,-1)</f>
        <v/>
      </c>
      <c r="D95" t="n">
        <v>0.01</v>
      </c>
      <c r="E95">
        <f>B95*C95*D95</f>
        <v/>
      </c>
    </row>
    <row r="96">
      <c r="A96" t="n">
        <v>95</v>
      </c>
      <c r="B96">
        <f>IF(RAND()&lt;0.55,1,-1)</f>
        <v/>
      </c>
      <c r="C96">
        <f>IF(B96=1,2,-1)</f>
        <v/>
      </c>
      <c r="D96" t="n">
        <v>0.01</v>
      </c>
      <c r="E96">
        <f>B96*C96*D96</f>
        <v/>
      </c>
    </row>
    <row r="97">
      <c r="A97" t="n">
        <v>96</v>
      </c>
      <c r="B97">
        <f>IF(RAND()&lt;0.55,1,-1)</f>
        <v/>
      </c>
      <c r="C97">
        <f>IF(B97=1,2,-1)</f>
        <v/>
      </c>
      <c r="D97" t="n">
        <v>0.01</v>
      </c>
      <c r="E97">
        <f>B97*C97*D97</f>
        <v/>
      </c>
    </row>
    <row r="98">
      <c r="A98" t="n">
        <v>97</v>
      </c>
      <c r="B98">
        <f>IF(RAND()&lt;0.55,1,-1)</f>
        <v/>
      </c>
      <c r="C98">
        <f>IF(B98=1,2,-1)</f>
        <v/>
      </c>
      <c r="D98" t="n">
        <v>0.01</v>
      </c>
      <c r="E98">
        <f>B98*C98*D98</f>
        <v/>
      </c>
    </row>
    <row r="99">
      <c r="A99" t="n">
        <v>98</v>
      </c>
      <c r="B99">
        <f>IF(RAND()&lt;0.55,1,-1)</f>
        <v/>
      </c>
      <c r="C99">
        <f>IF(B99=1,2,-1)</f>
        <v/>
      </c>
      <c r="D99" t="n">
        <v>0.01</v>
      </c>
      <c r="E99">
        <f>B99*C99*D99</f>
        <v/>
      </c>
    </row>
    <row r="100">
      <c r="A100" t="n">
        <v>99</v>
      </c>
      <c r="B100">
        <f>IF(RAND()&lt;0.55,1,-1)</f>
        <v/>
      </c>
      <c r="C100">
        <f>IF(B100=1,2,-1)</f>
        <v/>
      </c>
      <c r="D100" t="n">
        <v>0.01</v>
      </c>
      <c r="E100">
        <f>B100*C100*D100</f>
        <v/>
      </c>
    </row>
    <row r="101">
      <c r="A101" t="n">
        <v>100</v>
      </c>
      <c r="B101">
        <f>IF(RAND()&lt;0.55,1,-1)</f>
        <v/>
      </c>
      <c r="C101">
        <f>IF(B101=1,2,-1)</f>
        <v/>
      </c>
      <c r="D101" t="n">
        <v>0.01</v>
      </c>
      <c r="E101">
        <f>B101*C101*D101</f>
        <v/>
      </c>
    </row>
    <row r="102">
      <c r="A102" t="n">
        <v>101</v>
      </c>
      <c r="B102">
        <f>IF(RAND()&lt;0.55,1,-1)</f>
        <v/>
      </c>
      <c r="C102">
        <f>IF(B102=1,2,-1)</f>
        <v/>
      </c>
      <c r="D102" t="n">
        <v>0.01</v>
      </c>
      <c r="E102">
        <f>B102*C102*D102</f>
        <v/>
      </c>
    </row>
    <row r="103">
      <c r="A103" t="n">
        <v>102</v>
      </c>
      <c r="B103">
        <f>IF(RAND()&lt;0.55,1,-1)</f>
        <v/>
      </c>
      <c r="C103">
        <f>IF(B103=1,2,-1)</f>
        <v/>
      </c>
      <c r="D103" t="n">
        <v>0.01</v>
      </c>
      <c r="E103">
        <f>B103*C103*D103</f>
        <v/>
      </c>
    </row>
    <row r="104">
      <c r="A104" t="n">
        <v>103</v>
      </c>
      <c r="B104">
        <f>IF(RAND()&lt;0.55,1,-1)</f>
        <v/>
      </c>
      <c r="C104">
        <f>IF(B104=1,2,-1)</f>
        <v/>
      </c>
      <c r="D104" t="n">
        <v>0.01</v>
      </c>
      <c r="E104">
        <f>B104*C104*D104</f>
        <v/>
      </c>
    </row>
    <row r="105">
      <c r="A105" t="n">
        <v>104</v>
      </c>
      <c r="B105">
        <f>IF(RAND()&lt;0.55,1,-1)</f>
        <v/>
      </c>
      <c r="C105">
        <f>IF(B105=1,2,-1)</f>
        <v/>
      </c>
      <c r="D105" t="n">
        <v>0.01</v>
      </c>
      <c r="E105">
        <f>B105*C105*D105</f>
        <v/>
      </c>
    </row>
    <row r="106">
      <c r="A106" t="n">
        <v>105</v>
      </c>
      <c r="B106">
        <f>IF(RAND()&lt;0.55,1,-1)</f>
        <v/>
      </c>
      <c r="C106">
        <f>IF(B106=1,2,-1)</f>
        <v/>
      </c>
      <c r="D106" t="n">
        <v>0.01</v>
      </c>
      <c r="E106">
        <f>B106*C106*D106</f>
        <v/>
      </c>
    </row>
    <row r="107">
      <c r="A107" t="n">
        <v>106</v>
      </c>
      <c r="B107">
        <f>IF(RAND()&lt;0.55,1,-1)</f>
        <v/>
      </c>
      <c r="C107">
        <f>IF(B107=1,2,-1)</f>
        <v/>
      </c>
      <c r="D107" t="n">
        <v>0.01</v>
      </c>
      <c r="E107">
        <f>B107*C107*D107</f>
        <v/>
      </c>
    </row>
    <row r="108">
      <c r="A108" t="n">
        <v>107</v>
      </c>
      <c r="B108">
        <f>IF(RAND()&lt;0.55,1,-1)</f>
        <v/>
      </c>
      <c r="C108">
        <f>IF(B108=1,2,-1)</f>
        <v/>
      </c>
      <c r="D108" t="n">
        <v>0.01</v>
      </c>
      <c r="E108">
        <f>B108*C108*D108</f>
        <v/>
      </c>
    </row>
    <row r="109">
      <c r="A109" t="n">
        <v>108</v>
      </c>
      <c r="B109">
        <f>IF(RAND()&lt;0.55,1,-1)</f>
        <v/>
      </c>
      <c r="C109">
        <f>IF(B109=1,2,-1)</f>
        <v/>
      </c>
      <c r="D109" t="n">
        <v>0.01</v>
      </c>
      <c r="E109">
        <f>B109*C109*D109</f>
        <v/>
      </c>
    </row>
    <row r="110">
      <c r="A110" t="n">
        <v>109</v>
      </c>
      <c r="B110">
        <f>IF(RAND()&lt;0.55,1,-1)</f>
        <v/>
      </c>
      <c r="C110">
        <f>IF(B110=1,2,-1)</f>
        <v/>
      </c>
      <c r="D110" t="n">
        <v>0.01</v>
      </c>
      <c r="E110">
        <f>B110*C110*D110</f>
        <v/>
      </c>
    </row>
    <row r="111">
      <c r="A111" t="n">
        <v>110</v>
      </c>
      <c r="B111">
        <f>IF(RAND()&lt;0.55,1,-1)</f>
        <v/>
      </c>
      <c r="C111">
        <f>IF(B111=1,2,-1)</f>
        <v/>
      </c>
      <c r="D111" t="n">
        <v>0.01</v>
      </c>
      <c r="E111">
        <f>B111*C111*D111</f>
        <v/>
      </c>
    </row>
    <row r="112">
      <c r="A112" t="n">
        <v>111</v>
      </c>
      <c r="B112">
        <f>IF(RAND()&lt;0.55,1,-1)</f>
        <v/>
      </c>
      <c r="C112">
        <f>IF(B112=1,2,-1)</f>
        <v/>
      </c>
      <c r="D112" t="n">
        <v>0.01</v>
      </c>
      <c r="E112">
        <f>B112*C112*D112</f>
        <v/>
      </c>
    </row>
    <row r="113">
      <c r="A113" t="n">
        <v>112</v>
      </c>
      <c r="B113">
        <f>IF(RAND()&lt;0.55,1,-1)</f>
        <v/>
      </c>
      <c r="C113">
        <f>IF(B113=1,2,-1)</f>
        <v/>
      </c>
      <c r="D113" t="n">
        <v>0.01</v>
      </c>
      <c r="E113">
        <f>B113*C113*D113</f>
        <v/>
      </c>
    </row>
    <row r="114">
      <c r="A114" t="n">
        <v>113</v>
      </c>
      <c r="B114">
        <f>IF(RAND()&lt;0.55,1,-1)</f>
        <v/>
      </c>
      <c r="C114">
        <f>IF(B114=1,2,-1)</f>
        <v/>
      </c>
      <c r="D114" t="n">
        <v>0.01</v>
      </c>
      <c r="E114">
        <f>B114*C114*D114</f>
        <v/>
      </c>
    </row>
    <row r="115">
      <c r="A115" t="n">
        <v>114</v>
      </c>
      <c r="B115">
        <f>IF(RAND()&lt;0.55,1,-1)</f>
        <v/>
      </c>
      <c r="C115">
        <f>IF(B115=1,2,-1)</f>
        <v/>
      </c>
      <c r="D115" t="n">
        <v>0.01</v>
      </c>
      <c r="E115">
        <f>B115*C115*D115</f>
        <v/>
      </c>
    </row>
    <row r="116">
      <c r="A116" t="n">
        <v>115</v>
      </c>
      <c r="B116">
        <f>IF(RAND()&lt;0.55,1,-1)</f>
        <v/>
      </c>
      <c r="C116">
        <f>IF(B116=1,2,-1)</f>
        <v/>
      </c>
      <c r="D116" t="n">
        <v>0.01</v>
      </c>
      <c r="E116">
        <f>B116*C116*D116</f>
        <v/>
      </c>
    </row>
    <row r="117">
      <c r="A117" t="n">
        <v>116</v>
      </c>
      <c r="B117">
        <f>IF(RAND()&lt;0.55,1,-1)</f>
        <v/>
      </c>
      <c r="C117">
        <f>IF(B117=1,2,-1)</f>
        <v/>
      </c>
      <c r="D117" t="n">
        <v>0.01</v>
      </c>
      <c r="E117">
        <f>B117*C117*D117</f>
        <v/>
      </c>
    </row>
    <row r="118">
      <c r="A118" t="n">
        <v>117</v>
      </c>
      <c r="B118">
        <f>IF(RAND()&lt;0.55,1,-1)</f>
        <v/>
      </c>
      <c r="C118">
        <f>IF(B118=1,2,-1)</f>
        <v/>
      </c>
      <c r="D118" t="n">
        <v>0.01</v>
      </c>
      <c r="E118">
        <f>B118*C118*D118</f>
        <v/>
      </c>
    </row>
    <row r="119">
      <c r="A119" t="n">
        <v>118</v>
      </c>
      <c r="B119">
        <f>IF(RAND()&lt;0.55,1,-1)</f>
        <v/>
      </c>
      <c r="C119">
        <f>IF(B119=1,2,-1)</f>
        <v/>
      </c>
      <c r="D119" t="n">
        <v>0.01</v>
      </c>
      <c r="E119">
        <f>B119*C119*D119</f>
        <v/>
      </c>
    </row>
    <row r="120">
      <c r="A120" t="n">
        <v>119</v>
      </c>
      <c r="B120">
        <f>IF(RAND()&lt;0.55,1,-1)</f>
        <v/>
      </c>
      <c r="C120">
        <f>IF(B120=1,2,-1)</f>
        <v/>
      </c>
      <c r="D120" t="n">
        <v>0.01</v>
      </c>
      <c r="E120">
        <f>B120*C120*D120</f>
        <v/>
      </c>
    </row>
    <row r="121">
      <c r="A121" t="n">
        <v>120</v>
      </c>
      <c r="B121">
        <f>IF(RAND()&lt;0.55,1,-1)</f>
        <v/>
      </c>
      <c r="C121">
        <f>IF(B121=1,2,-1)</f>
        <v/>
      </c>
      <c r="D121" t="n">
        <v>0.01</v>
      </c>
      <c r="E121">
        <f>B121*C121*D121</f>
        <v/>
      </c>
    </row>
    <row r="122">
      <c r="A122" t="n">
        <v>121</v>
      </c>
      <c r="B122">
        <f>IF(RAND()&lt;0.55,1,-1)</f>
        <v/>
      </c>
      <c r="C122">
        <f>IF(B122=1,2,-1)</f>
        <v/>
      </c>
      <c r="D122" t="n">
        <v>0.01</v>
      </c>
      <c r="E122">
        <f>B122*C122*D122</f>
        <v/>
      </c>
    </row>
    <row r="123">
      <c r="A123" t="n">
        <v>122</v>
      </c>
      <c r="B123">
        <f>IF(RAND()&lt;0.55,1,-1)</f>
        <v/>
      </c>
      <c r="C123">
        <f>IF(B123=1,2,-1)</f>
        <v/>
      </c>
      <c r="D123" t="n">
        <v>0.01</v>
      </c>
      <c r="E123">
        <f>B123*C123*D123</f>
        <v/>
      </c>
    </row>
    <row r="124">
      <c r="A124" t="n">
        <v>123</v>
      </c>
      <c r="B124">
        <f>IF(RAND()&lt;0.55,1,-1)</f>
        <v/>
      </c>
      <c r="C124">
        <f>IF(B124=1,2,-1)</f>
        <v/>
      </c>
      <c r="D124" t="n">
        <v>0.01</v>
      </c>
      <c r="E124">
        <f>B124*C124*D124</f>
        <v/>
      </c>
    </row>
    <row r="125">
      <c r="A125" t="n">
        <v>124</v>
      </c>
      <c r="B125">
        <f>IF(RAND()&lt;0.55,1,-1)</f>
        <v/>
      </c>
      <c r="C125">
        <f>IF(B125=1,2,-1)</f>
        <v/>
      </c>
      <c r="D125" t="n">
        <v>0.01</v>
      </c>
      <c r="E125">
        <f>B125*C125*D125</f>
        <v/>
      </c>
    </row>
    <row r="126">
      <c r="A126" t="n">
        <v>125</v>
      </c>
      <c r="B126">
        <f>IF(RAND()&lt;0.55,1,-1)</f>
        <v/>
      </c>
      <c r="C126">
        <f>IF(B126=1,2,-1)</f>
        <v/>
      </c>
      <c r="D126" t="n">
        <v>0.01</v>
      </c>
      <c r="E126">
        <f>B126*C126*D126</f>
        <v/>
      </c>
    </row>
    <row r="127">
      <c r="A127" t="n">
        <v>126</v>
      </c>
      <c r="B127">
        <f>IF(RAND()&lt;0.55,1,-1)</f>
        <v/>
      </c>
      <c r="C127">
        <f>IF(B127=1,2,-1)</f>
        <v/>
      </c>
      <c r="D127" t="n">
        <v>0.01</v>
      </c>
      <c r="E127">
        <f>B127*C127*D127</f>
        <v/>
      </c>
    </row>
    <row r="128">
      <c r="A128" t="n">
        <v>127</v>
      </c>
      <c r="B128">
        <f>IF(RAND()&lt;0.55,1,-1)</f>
        <v/>
      </c>
      <c r="C128">
        <f>IF(B128=1,2,-1)</f>
        <v/>
      </c>
      <c r="D128" t="n">
        <v>0.01</v>
      </c>
      <c r="E128">
        <f>B128*C128*D128</f>
        <v/>
      </c>
    </row>
    <row r="129">
      <c r="A129" t="n">
        <v>128</v>
      </c>
      <c r="B129">
        <f>IF(RAND()&lt;0.55,1,-1)</f>
        <v/>
      </c>
      <c r="C129">
        <f>IF(B129=1,2,-1)</f>
        <v/>
      </c>
      <c r="D129" t="n">
        <v>0.01</v>
      </c>
      <c r="E129">
        <f>B129*C129*D129</f>
        <v/>
      </c>
    </row>
    <row r="130">
      <c r="A130" t="n">
        <v>129</v>
      </c>
      <c r="B130">
        <f>IF(RAND()&lt;0.55,1,-1)</f>
        <v/>
      </c>
      <c r="C130">
        <f>IF(B130=1,2,-1)</f>
        <v/>
      </c>
      <c r="D130" t="n">
        <v>0.01</v>
      </c>
      <c r="E130">
        <f>B130*C130*D130</f>
        <v/>
      </c>
    </row>
    <row r="131">
      <c r="A131" t="n">
        <v>130</v>
      </c>
      <c r="B131">
        <f>IF(RAND()&lt;0.55,1,-1)</f>
        <v/>
      </c>
      <c r="C131">
        <f>IF(B131=1,2,-1)</f>
        <v/>
      </c>
      <c r="D131" t="n">
        <v>0.01</v>
      </c>
      <c r="E131">
        <f>B131*C131*D131</f>
        <v/>
      </c>
    </row>
    <row r="132">
      <c r="A132" t="n">
        <v>131</v>
      </c>
      <c r="B132">
        <f>IF(RAND()&lt;0.55,1,-1)</f>
        <v/>
      </c>
      <c r="C132">
        <f>IF(B132=1,2,-1)</f>
        <v/>
      </c>
      <c r="D132" t="n">
        <v>0.01</v>
      </c>
      <c r="E132">
        <f>B132*C132*D132</f>
        <v/>
      </c>
    </row>
    <row r="133">
      <c r="A133" t="n">
        <v>132</v>
      </c>
      <c r="B133">
        <f>IF(RAND()&lt;0.55,1,-1)</f>
        <v/>
      </c>
      <c r="C133">
        <f>IF(B133=1,2,-1)</f>
        <v/>
      </c>
      <c r="D133" t="n">
        <v>0.01</v>
      </c>
      <c r="E133">
        <f>B133*C133*D133</f>
        <v/>
      </c>
    </row>
    <row r="134">
      <c r="A134" t="n">
        <v>133</v>
      </c>
      <c r="B134">
        <f>IF(RAND()&lt;0.55,1,-1)</f>
        <v/>
      </c>
      <c r="C134">
        <f>IF(B134=1,2,-1)</f>
        <v/>
      </c>
      <c r="D134" t="n">
        <v>0.01</v>
      </c>
      <c r="E134">
        <f>B134*C134*D134</f>
        <v/>
      </c>
    </row>
    <row r="135">
      <c r="A135" t="n">
        <v>134</v>
      </c>
      <c r="B135">
        <f>IF(RAND()&lt;0.55,1,-1)</f>
        <v/>
      </c>
      <c r="C135">
        <f>IF(B135=1,2,-1)</f>
        <v/>
      </c>
      <c r="D135" t="n">
        <v>0.01</v>
      </c>
      <c r="E135">
        <f>B135*C135*D135</f>
        <v/>
      </c>
    </row>
    <row r="136">
      <c r="A136" t="n">
        <v>135</v>
      </c>
      <c r="B136">
        <f>IF(RAND()&lt;0.55,1,-1)</f>
        <v/>
      </c>
      <c r="C136">
        <f>IF(B136=1,2,-1)</f>
        <v/>
      </c>
      <c r="D136" t="n">
        <v>0.01</v>
      </c>
      <c r="E136">
        <f>B136*C136*D136</f>
        <v/>
      </c>
    </row>
    <row r="137">
      <c r="A137" t="n">
        <v>136</v>
      </c>
      <c r="B137">
        <f>IF(RAND()&lt;0.55,1,-1)</f>
        <v/>
      </c>
      <c r="C137">
        <f>IF(B137=1,2,-1)</f>
        <v/>
      </c>
      <c r="D137" t="n">
        <v>0.01</v>
      </c>
      <c r="E137">
        <f>B137*C137*D137</f>
        <v/>
      </c>
    </row>
    <row r="138">
      <c r="A138" t="n">
        <v>137</v>
      </c>
      <c r="B138">
        <f>IF(RAND()&lt;0.55,1,-1)</f>
        <v/>
      </c>
      <c r="C138">
        <f>IF(B138=1,2,-1)</f>
        <v/>
      </c>
      <c r="D138" t="n">
        <v>0.01</v>
      </c>
      <c r="E138">
        <f>B138*C138*D138</f>
        <v/>
      </c>
    </row>
    <row r="139">
      <c r="A139" t="n">
        <v>138</v>
      </c>
      <c r="B139">
        <f>IF(RAND()&lt;0.55,1,-1)</f>
        <v/>
      </c>
      <c r="C139">
        <f>IF(B139=1,2,-1)</f>
        <v/>
      </c>
      <c r="D139" t="n">
        <v>0.01</v>
      </c>
      <c r="E139">
        <f>B139*C139*D139</f>
        <v/>
      </c>
    </row>
    <row r="140">
      <c r="A140" t="n">
        <v>139</v>
      </c>
      <c r="B140">
        <f>IF(RAND()&lt;0.55,1,-1)</f>
        <v/>
      </c>
      <c r="C140">
        <f>IF(B140=1,2,-1)</f>
        <v/>
      </c>
      <c r="D140" t="n">
        <v>0.01</v>
      </c>
      <c r="E140">
        <f>B140*C140*D140</f>
        <v/>
      </c>
    </row>
    <row r="141">
      <c r="A141" t="n">
        <v>140</v>
      </c>
      <c r="B141">
        <f>IF(RAND()&lt;0.55,1,-1)</f>
        <v/>
      </c>
      <c r="C141">
        <f>IF(B141=1,2,-1)</f>
        <v/>
      </c>
      <c r="D141" t="n">
        <v>0.01</v>
      </c>
      <c r="E141">
        <f>B141*C141*D141</f>
        <v/>
      </c>
    </row>
    <row r="142">
      <c r="A142" t="n">
        <v>141</v>
      </c>
      <c r="B142">
        <f>IF(RAND()&lt;0.55,1,-1)</f>
        <v/>
      </c>
      <c r="C142">
        <f>IF(B142=1,2,-1)</f>
        <v/>
      </c>
      <c r="D142" t="n">
        <v>0.01</v>
      </c>
      <c r="E142">
        <f>B142*C142*D142</f>
        <v/>
      </c>
    </row>
    <row r="143">
      <c r="A143" t="n">
        <v>142</v>
      </c>
      <c r="B143">
        <f>IF(RAND()&lt;0.55,1,-1)</f>
        <v/>
      </c>
      <c r="C143">
        <f>IF(B143=1,2,-1)</f>
        <v/>
      </c>
      <c r="D143" t="n">
        <v>0.01</v>
      </c>
      <c r="E143">
        <f>B143*C143*D143</f>
        <v/>
      </c>
    </row>
    <row r="144">
      <c r="A144" t="n">
        <v>143</v>
      </c>
      <c r="B144">
        <f>IF(RAND()&lt;0.55,1,-1)</f>
        <v/>
      </c>
      <c r="C144">
        <f>IF(B144=1,2,-1)</f>
        <v/>
      </c>
      <c r="D144" t="n">
        <v>0.01</v>
      </c>
      <c r="E144">
        <f>B144*C144*D144</f>
        <v/>
      </c>
    </row>
    <row r="145">
      <c r="A145" t="n">
        <v>144</v>
      </c>
      <c r="B145">
        <f>IF(RAND()&lt;0.55,1,-1)</f>
        <v/>
      </c>
      <c r="C145">
        <f>IF(B145=1,2,-1)</f>
        <v/>
      </c>
      <c r="D145" t="n">
        <v>0.01</v>
      </c>
      <c r="E145">
        <f>B145*C145*D145</f>
        <v/>
      </c>
    </row>
    <row r="146">
      <c r="A146" t="n">
        <v>145</v>
      </c>
      <c r="B146">
        <f>IF(RAND()&lt;0.55,1,-1)</f>
        <v/>
      </c>
      <c r="C146">
        <f>IF(B146=1,2,-1)</f>
        <v/>
      </c>
      <c r="D146" t="n">
        <v>0.01</v>
      </c>
      <c r="E146">
        <f>B146*C146*D146</f>
        <v/>
      </c>
    </row>
    <row r="147">
      <c r="A147" t="n">
        <v>146</v>
      </c>
      <c r="B147">
        <f>IF(RAND()&lt;0.55,1,-1)</f>
        <v/>
      </c>
      <c r="C147">
        <f>IF(B147=1,2,-1)</f>
        <v/>
      </c>
      <c r="D147" t="n">
        <v>0.01</v>
      </c>
      <c r="E147">
        <f>B147*C147*D147</f>
        <v/>
      </c>
    </row>
    <row r="148">
      <c r="A148" t="n">
        <v>147</v>
      </c>
      <c r="B148">
        <f>IF(RAND()&lt;0.55,1,-1)</f>
        <v/>
      </c>
      <c r="C148">
        <f>IF(B148=1,2,-1)</f>
        <v/>
      </c>
      <c r="D148" t="n">
        <v>0.01</v>
      </c>
      <c r="E148">
        <f>B148*C148*D148</f>
        <v/>
      </c>
    </row>
    <row r="149">
      <c r="A149" t="n">
        <v>148</v>
      </c>
      <c r="B149">
        <f>IF(RAND()&lt;0.55,1,-1)</f>
        <v/>
      </c>
      <c r="C149">
        <f>IF(B149=1,2,-1)</f>
        <v/>
      </c>
      <c r="D149" t="n">
        <v>0.01</v>
      </c>
      <c r="E149">
        <f>B149*C149*D149</f>
        <v/>
      </c>
    </row>
    <row r="150">
      <c r="A150" t="n">
        <v>149</v>
      </c>
      <c r="B150">
        <f>IF(RAND()&lt;0.55,1,-1)</f>
        <v/>
      </c>
      <c r="C150">
        <f>IF(B150=1,2,-1)</f>
        <v/>
      </c>
      <c r="D150" t="n">
        <v>0.01</v>
      </c>
      <c r="E150">
        <f>B150*C150*D150</f>
        <v/>
      </c>
    </row>
    <row r="151">
      <c r="A151" t="n">
        <v>150</v>
      </c>
      <c r="B151">
        <f>IF(RAND()&lt;0.55,1,-1)</f>
        <v/>
      </c>
      <c r="C151">
        <f>IF(B151=1,2,-1)</f>
        <v/>
      </c>
      <c r="D151" t="n">
        <v>0.01</v>
      </c>
      <c r="E151">
        <f>B151*C151*D151</f>
        <v/>
      </c>
    </row>
    <row r="152">
      <c r="A152" t="n">
        <v>151</v>
      </c>
      <c r="B152">
        <f>IF(RAND()&lt;0.55,1,-1)</f>
        <v/>
      </c>
      <c r="C152">
        <f>IF(B152=1,2,-1)</f>
        <v/>
      </c>
      <c r="D152" t="n">
        <v>0.01</v>
      </c>
      <c r="E152">
        <f>B152*C152*D152</f>
        <v/>
      </c>
    </row>
    <row r="153">
      <c r="A153" t="n">
        <v>152</v>
      </c>
      <c r="B153">
        <f>IF(RAND()&lt;0.55,1,-1)</f>
        <v/>
      </c>
      <c r="C153">
        <f>IF(B153=1,2,-1)</f>
        <v/>
      </c>
      <c r="D153" t="n">
        <v>0.01</v>
      </c>
      <c r="E153">
        <f>B153*C153*D153</f>
        <v/>
      </c>
    </row>
    <row r="154">
      <c r="A154" t="n">
        <v>153</v>
      </c>
      <c r="B154">
        <f>IF(RAND()&lt;0.55,1,-1)</f>
        <v/>
      </c>
      <c r="C154">
        <f>IF(B154=1,2,-1)</f>
        <v/>
      </c>
      <c r="D154" t="n">
        <v>0.01</v>
      </c>
      <c r="E154">
        <f>B154*C154*D154</f>
        <v/>
      </c>
    </row>
    <row r="155">
      <c r="A155" t="n">
        <v>154</v>
      </c>
      <c r="B155">
        <f>IF(RAND()&lt;0.55,1,-1)</f>
        <v/>
      </c>
      <c r="C155">
        <f>IF(B155=1,2,-1)</f>
        <v/>
      </c>
      <c r="D155" t="n">
        <v>0.01</v>
      </c>
      <c r="E155">
        <f>B155*C155*D155</f>
        <v/>
      </c>
    </row>
    <row r="156">
      <c r="A156" t="n">
        <v>155</v>
      </c>
      <c r="B156">
        <f>IF(RAND()&lt;0.55,1,-1)</f>
        <v/>
      </c>
      <c r="C156">
        <f>IF(B156=1,2,-1)</f>
        <v/>
      </c>
      <c r="D156" t="n">
        <v>0.01</v>
      </c>
      <c r="E156">
        <f>B156*C156*D156</f>
        <v/>
      </c>
    </row>
    <row r="157">
      <c r="A157" t="n">
        <v>156</v>
      </c>
      <c r="B157">
        <f>IF(RAND()&lt;0.55,1,-1)</f>
        <v/>
      </c>
      <c r="C157">
        <f>IF(B157=1,2,-1)</f>
        <v/>
      </c>
      <c r="D157" t="n">
        <v>0.01</v>
      </c>
      <c r="E157">
        <f>B157*C157*D157</f>
        <v/>
      </c>
    </row>
    <row r="158">
      <c r="A158" t="n">
        <v>157</v>
      </c>
      <c r="B158">
        <f>IF(RAND()&lt;0.55,1,-1)</f>
        <v/>
      </c>
      <c r="C158">
        <f>IF(B158=1,2,-1)</f>
        <v/>
      </c>
      <c r="D158" t="n">
        <v>0.01</v>
      </c>
      <c r="E158">
        <f>B158*C158*D158</f>
        <v/>
      </c>
    </row>
    <row r="159">
      <c r="A159" t="n">
        <v>158</v>
      </c>
      <c r="B159">
        <f>IF(RAND()&lt;0.55,1,-1)</f>
        <v/>
      </c>
      <c r="C159">
        <f>IF(B159=1,2,-1)</f>
        <v/>
      </c>
      <c r="D159" t="n">
        <v>0.01</v>
      </c>
      <c r="E159">
        <f>B159*C159*D159</f>
        <v/>
      </c>
    </row>
    <row r="160">
      <c r="A160" t="n">
        <v>159</v>
      </c>
      <c r="B160">
        <f>IF(RAND()&lt;0.55,1,-1)</f>
        <v/>
      </c>
      <c r="C160">
        <f>IF(B160=1,2,-1)</f>
        <v/>
      </c>
      <c r="D160" t="n">
        <v>0.01</v>
      </c>
      <c r="E160">
        <f>B160*C160*D160</f>
        <v/>
      </c>
    </row>
    <row r="161">
      <c r="A161" t="n">
        <v>160</v>
      </c>
      <c r="B161">
        <f>IF(RAND()&lt;0.55,1,-1)</f>
        <v/>
      </c>
      <c r="C161">
        <f>IF(B161=1,2,-1)</f>
        <v/>
      </c>
      <c r="D161" t="n">
        <v>0.01</v>
      </c>
      <c r="E161">
        <f>B161*C161*D161</f>
        <v/>
      </c>
    </row>
    <row r="162">
      <c r="A162" t="n">
        <v>161</v>
      </c>
      <c r="B162">
        <f>IF(RAND()&lt;0.55,1,-1)</f>
        <v/>
      </c>
      <c r="C162">
        <f>IF(B162=1,2,-1)</f>
        <v/>
      </c>
      <c r="D162" t="n">
        <v>0.01</v>
      </c>
      <c r="E162">
        <f>B162*C162*D162</f>
        <v/>
      </c>
    </row>
    <row r="163">
      <c r="A163" t="n">
        <v>162</v>
      </c>
      <c r="B163">
        <f>IF(RAND()&lt;0.55,1,-1)</f>
        <v/>
      </c>
      <c r="C163">
        <f>IF(B163=1,2,-1)</f>
        <v/>
      </c>
      <c r="D163" t="n">
        <v>0.01</v>
      </c>
      <c r="E163">
        <f>B163*C163*D163</f>
        <v/>
      </c>
    </row>
    <row r="164">
      <c r="A164" t="n">
        <v>163</v>
      </c>
      <c r="B164">
        <f>IF(RAND()&lt;0.55,1,-1)</f>
        <v/>
      </c>
      <c r="C164">
        <f>IF(B164=1,2,-1)</f>
        <v/>
      </c>
      <c r="D164" t="n">
        <v>0.01</v>
      </c>
      <c r="E164">
        <f>B164*C164*D164</f>
        <v/>
      </c>
    </row>
    <row r="165">
      <c r="A165" t="n">
        <v>164</v>
      </c>
      <c r="B165">
        <f>IF(RAND()&lt;0.55,1,-1)</f>
        <v/>
      </c>
      <c r="C165">
        <f>IF(B165=1,2,-1)</f>
        <v/>
      </c>
      <c r="D165" t="n">
        <v>0.01</v>
      </c>
      <c r="E165">
        <f>B165*C165*D165</f>
        <v/>
      </c>
    </row>
    <row r="166">
      <c r="A166" t="n">
        <v>165</v>
      </c>
      <c r="B166">
        <f>IF(RAND()&lt;0.55,1,-1)</f>
        <v/>
      </c>
      <c r="C166">
        <f>IF(B166=1,2,-1)</f>
        <v/>
      </c>
      <c r="D166" t="n">
        <v>0.01</v>
      </c>
      <c r="E166">
        <f>B166*C166*D166</f>
        <v/>
      </c>
    </row>
    <row r="167">
      <c r="A167" t="n">
        <v>166</v>
      </c>
      <c r="B167">
        <f>IF(RAND()&lt;0.55,1,-1)</f>
        <v/>
      </c>
      <c r="C167">
        <f>IF(B167=1,2,-1)</f>
        <v/>
      </c>
      <c r="D167" t="n">
        <v>0.01</v>
      </c>
      <c r="E167">
        <f>B167*C167*D167</f>
        <v/>
      </c>
    </row>
    <row r="168">
      <c r="A168" t="n">
        <v>167</v>
      </c>
      <c r="B168">
        <f>IF(RAND()&lt;0.55,1,-1)</f>
        <v/>
      </c>
      <c r="C168">
        <f>IF(B168=1,2,-1)</f>
        <v/>
      </c>
      <c r="D168" t="n">
        <v>0.01</v>
      </c>
      <c r="E168">
        <f>B168*C168*D168</f>
        <v/>
      </c>
    </row>
    <row r="169">
      <c r="A169" t="n">
        <v>168</v>
      </c>
      <c r="B169">
        <f>IF(RAND()&lt;0.55,1,-1)</f>
        <v/>
      </c>
      <c r="C169">
        <f>IF(B169=1,2,-1)</f>
        <v/>
      </c>
      <c r="D169" t="n">
        <v>0.01</v>
      </c>
      <c r="E169">
        <f>B169*C169*D169</f>
        <v/>
      </c>
    </row>
    <row r="170">
      <c r="A170" t="n">
        <v>169</v>
      </c>
      <c r="B170">
        <f>IF(RAND()&lt;0.55,1,-1)</f>
        <v/>
      </c>
      <c r="C170">
        <f>IF(B170=1,2,-1)</f>
        <v/>
      </c>
      <c r="D170" t="n">
        <v>0.01</v>
      </c>
      <c r="E170">
        <f>B170*C170*D170</f>
        <v/>
      </c>
    </row>
    <row r="171">
      <c r="A171" t="n">
        <v>170</v>
      </c>
      <c r="B171">
        <f>IF(RAND()&lt;0.55,1,-1)</f>
        <v/>
      </c>
      <c r="C171">
        <f>IF(B171=1,2,-1)</f>
        <v/>
      </c>
      <c r="D171" t="n">
        <v>0.01</v>
      </c>
      <c r="E171">
        <f>B171*C171*D171</f>
        <v/>
      </c>
    </row>
    <row r="172">
      <c r="A172" t="n">
        <v>171</v>
      </c>
      <c r="B172">
        <f>IF(RAND()&lt;0.55,1,-1)</f>
        <v/>
      </c>
      <c r="C172">
        <f>IF(B172=1,2,-1)</f>
        <v/>
      </c>
      <c r="D172" t="n">
        <v>0.01</v>
      </c>
      <c r="E172">
        <f>B172*C172*D172</f>
        <v/>
      </c>
    </row>
    <row r="173">
      <c r="A173" t="n">
        <v>172</v>
      </c>
      <c r="B173">
        <f>IF(RAND()&lt;0.55,1,-1)</f>
        <v/>
      </c>
      <c r="C173">
        <f>IF(B173=1,2,-1)</f>
        <v/>
      </c>
      <c r="D173" t="n">
        <v>0.01</v>
      </c>
      <c r="E173">
        <f>B173*C173*D173</f>
        <v/>
      </c>
    </row>
    <row r="174">
      <c r="A174" t="n">
        <v>173</v>
      </c>
      <c r="B174">
        <f>IF(RAND()&lt;0.55,1,-1)</f>
        <v/>
      </c>
      <c r="C174">
        <f>IF(B174=1,2,-1)</f>
        <v/>
      </c>
      <c r="D174" t="n">
        <v>0.01</v>
      </c>
      <c r="E174">
        <f>B174*C174*D174</f>
        <v/>
      </c>
    </row>
    <row r="175">
      <c r="A175" t="n">
        <v>174</v>
      </c>
      <c r="B175">
        <f>IF(RAND()&lt;0.55,1,-1)</f>
        <v/>
      </c>
      <c r="C175">
        <f>IF(B175=1,2,-1)</f>
        <v/>
      </c>
      <c r="D175" t="n">
        <v>0.01</v>
      </c>
      <c r="E175">
        <f>B175*C175*D175</f>
        <v/>
      </c>
    </row>
    <row r="176">
      <c r="A176" t="n">
        <v>175</v>
      </c>
      <c r="B176">
        <f>IF(RAND()&lt;0.55,1,-1)</f>
        <v/>
      </c>
      <c r="C176">
        <f>IF(B176=1,2,-1)</f>
        <v/>
      </c>
      <c r="D176" t="n">
        <v>0.01</v>
      </c>
      <c r="E176">
        <f>B176*C176*D176</f>
        <v/>
      </c>
    </row>
    <row r="177">
      <c r="A177" t="n">
        <v>176</v>
      </c>
      <c r="B177">
        <f>IF(RAND()&lt;0.55,1,-1)</f>
        <v/>
      </c>
      <c r="C177">
        <f>IF(B177=1,2,-1)</f>
        <v/>
      </c>
      <c r="D177" t="n">
        <v>0.01</v>
      </c>
      <c r="E177">
        <f>B177*C177*D177</f>
        <v/>
      </c>
    </row>
    <row r="178">
      <c r="A178" t="n">
        <v>177</v>
      </c>
      <c r="B178">
        <f>IF(RAND()&lt;0.55,1,-1)</f>
        <v/>
      </c>
      <c r="C178">
        <f>IF(B178=1,2,-1)</f>
        <v/>
      </c>
      <c r="D178" t="n">
        <v>0.01</v>
      </c>
      <c r="E178">
        <f>B178*C178*D178</f>
        <v/>
      </c>
    </row>
    <row r="179">
      <c r="A179" t="n">
        <v>178</v>
      </c>
      <c r="B179">
        <f>IF(RAND()&lt;0.55,1,-1)</f>
        <v/>
      </c>
      <c r="C179">
        <f>IF(B179=1,2,-1)</f>
        <v/>
      </c>
      <c r="D179" t="n">
        <v>0.01</v>
      </c>
      <c r="E179">
        <f>B179*C179*D179</f>
        <v/>
      </c>
    </row>
    <row r="180">
      <c r="A180" t="n">
        <v>179</v>
      </c>
      <c r="B180">
        <f>IF(RAND()&lt;0.55,1,-1)</f>
        <v/>
      </c>
      <c r="C180">
        <f>IF(B180=1,2,-1)</f>
        <v/>
      </c>
      <c r="D180" t="n">
        <v>0.01</v>
      </c>
      <c r="E180">
        <f>B180*C180*D180</f>
        <v/>
      </c>
    </row>
    <row r="181">
      <c r="A181" t="n">
        <v>180</v>
      </c>
      <c r="B181">
        <f>IF(RAND()&lt;0.55,1,-1)</f>
        <v/>
      </c>
      <c r="C181">
        <f>IF(B181=1,2,-1)</f>
        <v/>
      </c>
      <c r="D181" t="n">
        <v>0.01</v>
      </c>
      <c r="E181">
        <f>B181*C181*D181</f>
        <v/>
      </c>
    </row>
    <row r="182">
      <c r="A182" t="n">
        <v>181</v>
      </c>
      <c r="B182">
        <f>IF(RAND()&lt;0.55,1,-1)</f>
        <v/>
      </c>
      <c r="C182">
        <f>IF(B182=1,2,-1)</f>
        <v/>
      </c>
      <c r="D182" t="n">
        <v>0.01</v>
      </c>
      <c r="E182">
        <f>B182*C182*D182</f>
        <v/>
      </c>
    </row>
    <row r="183">
      <c r="A183" t="n">
        <v>182</v>
      </c>
      <c r="B183">
        <f>IF(RAND()&lt;0.55,1,-1)</f>
        <v/>
      </c>
      <c r="C183">
        <f>IF(B183=1,2,-1)</f>
        <v/>
      </c>
      <c r="D183" t="n">
        <v>0.01</v>
      </c>
      <c r="E183">
        <f>B183*C183*D183</f>
        <v/>
      </c>
    </row>
    <row r="184">
      <c r="A184" t="n">
        <v>183</v>
      </c>
      <c r="B184">
        <f>IF(RAND()&lt;0.55,1,-1)</f>
        <v/>
      </c>
      <c r="C184">
        <f>IF(B184=1,2,-1)</f>
        <v/>
      </c>
      <c r="D184" t="n">
        <v>0.01</v>
      </c>
      <c r="E184">
        <f>B184*C184*D184</f>
        <v/>
      </c>
    </row>
    <row r="185">
      <c r="A185" t="n">
        <v>184</v>
      </c>
      <c r="B185">
        <f>IF(RAND()&lt;0.55,1,-1)</f>
        <v/>
      </c>
      <c r="C185">
        <f>IF(B185=1,2,-1)</f>
        <v/>
      </c>
      <c r="D185" t="n">
        <v>0.01</v>
      </c>
      <c r="E185">
        <f>B185*C185*D185</f>
        <v/>
      </c>
    </row>
    <row r="186">
      <c r="A186" t="n">
        <v>185</v>
      </c>
      <c r="B186">
        <f>IF(RAND()&lt;0.55,1,-1)</f>
        <v/>
      </c>
      <c r="C186">
        <f>IF(B186=1,2,-1)</f>
        <v/>
      </c>
      <c r="D186" t="n">
        <v>0.01</v>
      </c>
      <c r="E186">
        <f>B186*C186*D186</f>
        <v/>
      </c>
    </row>
    <row r="187">
      <c r="A187" t="n">
        <v>186</v>
      </c>
      <c r="B187">
        <f>IF(RAND()&lt;0.55,1,-1)</f>
        <v/>
      </c>
      <c r="C187">
        <f>IF(B187=1,2,-1)</f>
        <v/>
      </c>
      <c r="D187" t="n">
        <v>0.01</v>
      </c>
      <c r="E187">
        <f>B187*C187*D187</f>
        <v/>
      </c>
    </row>
    <row r="188">
      <c r="A188" t="n">
        <v>187</v>
      </c>
      <c r="B188">
        <f>IF(RAND()&lt;0.55,1,-1)</f>
        <v/>
      </c>
      <c r="C188">
        <f>IF(B188=1,2,-1)</f>
        <v/>
      </c>
      <c r="D188" t="n">
        <v>0.01</v>
      </c>
      <c r="E188">
        <f>B188*C188*D188</f>
        <v/>
      </c>
    </row>
    <row r="189">
      <c r="A189" t="n">
        <v>188</v>
      </c>
      <c r="B189">
        <f>IF(RAND()&lt;0.55,1,-1)</f>
        <v/>
      </c>
      <c r="C189">
        <f>IF(B189=1,2,-1)</f>
        <v/>
      </c>
      <c r="D189" t="n">
        <v>0.01</v>
      </c>
      <c r="E189">
        <f>B189*C189*D189</f>
        <v/>
      </c>
    </row>
    <row r="190">
      <c r="A190" t="n">
        <v>189</v>
      </c>
      <c r="B190">
        <f>IF(RAND()&lt;0.55,1,-1)</f>
        <v/>
      </c>
      <c r="C190">
        <f>IF(B190=1,2,-1)</f>
        <v/>
      </c>
      <c r="D190" t="n">
        <v>0.01</v>
      </c>
      <c r="E190">
        <f>B190*C190*D190</f>
        <v/>
      </c>
    </row>
    <row r="191">
      <c r="A191" t="n">
        <v>190</v>
      </c>
      <c r="B191">
        <f>IF(RAND()&lt;0.55,1,-1)</f>
        <v/>
      </c>
      <c r="C191">
        <f>IF(B191=1,2,-1)</f>
        <v/>
      </c>
      <c r="D191" t="n">
        <v>0.01</v>
      </c>
      <c r="E191">
        <f>B191*C191*D191</f>
        <v/>
      </c>
    </row>
    <row r="192">
      <c r="A192" t="n">
        <v>191</v>
      </c>
      <c r="B192">
        <f>IF(RAND()&lt;0.55,1,-1)</f>
        <v/>
      </c>
      <c r="C192">
        <f>IF(B192=1,2,-1)</f>
        <v/>
      </c>
      <c r="D192" t="n">
        <v>0.01</v>
      </c>
      <c r="E192">
        <f>B192*C192*D192</f>
        <v/>
      </c>
    </row>
    <row r="193">
      <c r="A193" t="n">
        <v>192</v>
      </c>
      <c r="B193">
        <f>IF(RAND()&lt;0.55,1,-1)</f>
        <v/>
      </c>
      <c r="C193">
        <f>IF(B193=1,2,-1)</f>
        <v/>
      </c>
      <c r="D193" t="n">
        <v>0.01</v>
      </c>
      <c r="E193">
        <f>B193*C193*D193</f>
        <v/>
      </c>
    </row>
    <row r="194">
      <c r="A194" t="n">
        <v>193</v>
      </c>
      <c r="B194">
        <f>IF(RAND()&lt;0.55,1,-1)</f>
        <v/>
      </c>
      <c r="C194">
        <f>IF(B194=1,2,-1)</f>
        <v/>
      </c>
      <c r="D194" t="n">
        <v>0.01</v>
      </c>
      <c r="E194">
        <f>B194*C194*D194</f>
        <v/>
      </c>
    </row>
    <row r="195">
      <c r="A195" t="n">
        <v>194</v>
      </c>
      <c r="B195">
        <f>IF(RAND()&lt;0.55,1,-1)</f>
        <v/>
      </c>
      <c r="C195">
        <f>IF(B195=1,2,-1)</f>
        <v/>
      </c>
      <c r="D195" t="n">
        <v>0.01</v>
      </c>
      <c r="E195">
        <f>B195*C195*D195</f>
        <v/>
      </c>
    </row>
    <row r="196">
      <c r="A196" t="n">
        <v>195</v>
      </c>
      <c r="B196">
        <f>IF(RAND()&lt;0.55,1,-1)</f>
        <v/>
      </c>
      <c r="C196">
        <f>IF(B196=1,2,-1)</f>
        <v/>
      </c>
      <c r="D196" t="n">
        <v>0.01</v>
      </c>
      <c r="E196">
        <f>B196*C196*D196</f>
        <v/>
      </c>
    </row>
    <row r="197">
      <c r="A197" t="n">
        <v>196</v>
      </c>
      <c r="B197">
        <f>IF(RAND()&lt;0.55,1,-1)</f>
        <v/>
      </c>
      <c r="C197">
        <f>IF(B197=1,2,-1)</f>
        <v/>
      </c>
      <c r="D197" t="n">
        <v>0.01</v>
      </c>
      <c r="E197">
        <f>B197*C197*D197</f>
        <v/>
      </c>
    </row>
    <row r="198">
      <c r="A198" t="n">
        <v>197</v>
      </c>
      <c r="B198">
        <f>IF(RAND()&lt;0.55,1,-1)</f>
        <v/>
      </c>
      <c r="C198">
        <f>IF(B198=1,2,-1)</f>
        <v/>
      </c>
      <c r="D198" t="n">
        <v>0.01</v>
      </c>
      <c r="E198">
        <f>B198*C198*D198</f>
        <v/>
      </c>
    </row>
    <row r="199">
      <c r="A199" t="n">
        <v>198</v>
      </c>
      <c r="B199">
        <f>IF(RAND()&lt;0.55,1,-1)</f>
        <v/>
      </c>
      <c r="C199">
        <f>IF(B199=1,2,-1)</f>
        <v/>
      </c>
      <c r="D199" t="n">
        <v>0.01</v>
      </c>
      <c r="E199">
        <f>B199*C199*D199</f>
        <v/>
      </c>
    </row>
    <row r="200">
      <c r="A200" t="n">
        <v>199</v>
      </c>
      <c r="B200">
        <f>IF(RAND()&lt;0.55,1,-1)</f>
        <v/>
      </c>
      <c r="C200">
        <f>IF(B200=1,2,-1)</f>
        <v/>
      </c>
      <c r="D200" t="n">
        <v>0.01</v>
      </c>
      <c r="E200">
        <f>B200*C200*D200</f>
        <v/>
      </c>
    </row>
    <row r="201">
      <c r="A201" t="n">
        <v>200</v>
      </c>
      <c r="B201">
        <f>IF(RAND()&lt;0.55,1,-1)</f>
        <v/>
      </c>
      <c r="C201">
        <f>IF(B201=1,2,-1)</f>
        <v/>
      </c>
      <c r="D201" t="n">
        <v>0.01</v>
      </c>
      <c r="E201">
        <f>B201*C201*D201</f>
        <v/>
      </c>
    </row>
    <row r="202">
      <c r="A202" t="n">
        <v>201</v>
      </c>
      <c r="B202">
        <f>IF(RAND()&lt;0.55,1,-1)</f>
        <v/>
      </c>
      <c r="C202">
        <f>IF(B202=1,2,-1)</f>
        <v/>
      </c>
      <c r="D202" t="n">
        <v>0.01</v>
      </c>
      <c r="E202">
        <f>B202*C202*D202</f>
        <v/>
      </c>
    </row>
    <row r="203">
      <c r="A203" t="n">
        <v>202</v>
      </c>
      <c r="B203">
        <f>IF(RAND()&lt;0.55,1,-1)</f>
        <v/>
      </c>
      <c r="C203">
        <f>IF(B203=1,2,-1)</f>
        <v/>
      </c>
      <c r="D203" t="n">
        <v>0.01</v>
      </c>
      <c r="E203">
        <f>B203*C203*D203</f>
        <v/>
      </c>
    </row>
    <row r="204">
      <c r="A204" t="n">
        <v>203</v>
      </c>
      <c r="B204">
        <f>IF(RAND()&lt;0.55,1,-1)</f>
        <v/>
      </c>
      <c r="C204">
        <f>IF(B204=1,2,-1)</f>
        <v/>
      </c>
      <c r="D204" t="n">
        <v>0.01</v>
      </c>
      <c r="E204">
        <f>B204*C204*D204</f>
        <v/>
      </c>
    </row>
    <row r="205">
      <c r="A205" t="n">
        <v>204</v>
      </c>
      <c r="B205">
        <f>IF(RAND()&lt;0.55,1,-1)</f>
        <v/>
      </c>
      <c r="C205">
        <f>IF(B205=1,2,-1)</f>
        <v/>
      </c>
      <c r="D205" t="n">
        <v>0.01</v>
      </c>
      <c r="E205">
        <f>B205*C205*D205</f>
        <v/>
      </c>
    </row>
    <row r="206">
      <c r="A206" t="n">
        <v>205</v>
      </c>
      <c r="B206">
        <f>IF(RAND()&lt;0.55,1,-1)</f>
        <v/>
      </c>
      <c r="C206">
        <f>IF(B206=1,2,-1)</f>
        <v/>
      </c>
      <c r="D206" t="n">
        <v>0.01</v>
      </c>
      <c r="E206">
        <f>B206*C206*D206</f>
        <v/>
      </c>
    </row>
    <row r="207">
      <c r="A207" t="n">
        <v>206</v>
      </c>
      <c r="B207">
        <f>IF(RAND()&lt;0.55,1,-1)</f>
        <v/>
      </c>
      <c r="C207">
        <f>IF(B207=1,2,-1)</f>
        <v/>
      </c>
      <c r="D207" t="n">
        <v>0.01</v>
      </c>
      <c r="E207">
        <f>B207*C207*D207</f>
        <v/>
      </c>
    </row>
    <row r="208">
      <c r="A208" t="n">
        <v>207</v>
      </c>
      <c r="B208">
        <f>IF(RAND()&lt;0.55,1,-1)</f>
        <v/>
      </c>
      <c r="C208">
        <f>IF(B208=1,2,-1)</f>
        <v/>
      </c>
      <c r="D208" t="n">
        <v>0.01</v>
      </c>
      <c r="E208">
        <f>B208*C208*D208</f>
        <v/>
      </c>
    </row>
    <row r="209">
      <c r="A209" t="n">
        <v>208</v>
      </c>
      <c r="B209">
        <f>IF(RAND()&lt;0.55,1,-1)</f>
        <v/>
      </c>
      <c r="C209">
        <f>IF(B209=1,2,-1)</f>
        <v/>
      </c>
      <c r="D209" t="n">
        <v>0.01</v>
      </c>
      <c r="E209">
        <f>B209*C209*D209</f>
        <v/>
      </c>
    </row>
    <row r="210">
      <c r="A210" t="n">
        <v>209</v>
      </c>
      <c r="B210">
        <f>IF(RAND()&lt;0.55,1,-1)</f>
        <v/>
      </c>
      <c r="C210">
        <f>IF(B210=1,2,-1)</f>
        <v/>
      </c>
      <c r="D210" t="n">
        <v>0.01</v>
      </c>
      <c r="E210">
        <f>B210*C210*D210</f>
        <v/>
      </c>
    </row>
    <row r="211">
      <c r="A211" t="n">
        <v>210</v>
      </c>
      <c r="B211">
        <f>IF(RAND()&lt;0.55,1,-1)</f>
        <v/>
      </c>
      <c r="C211">
        <f>IF(B211=1,2,-1)</f>
        <v/>
      </c>
      <c r="D211" t="n">
        <v>0.01</v>
      </c>
      <c r="E211">
        <f>B211*C211*D211</f>
        <v/>
      </c>
    </row>
    <row r="212">
      <c r="A212" t="n">
        <v>211</v>
      </c>
      <c r="B212">
        <f>IF(RAND()&lt;0.55,1,-1)</f>
        <v/>
      </c>
      <c r="C212">
        <f>IF(B212=1,2,-1)</f>
        <v/>
      </c>
      <c r="D212" t="n">
        <v>0.01</v>
      </c>
      <c r="E212">
        <f>B212*C212*D212</f>
        <v/>
      </c>
    </row>
    <row r="213">
      <c r="A213" t="n">
        <v>212</v>
      </c>
      <c r="B213">
        <f>IF(RAND()&lt;0.55,1,-1)</f>
        <v/>
      </c>
      <c r="C213">
        <f>IF(B213=1,2,-1)</f>
        <v/>
      </c>
      <c r="D213" t="n">
        <v>0.01</v>
      </c>
      <c r="E213">
        <f>B213*C213*D213</f>
        <v/>
      </c>
    </row>
    <row r="214">
      <c r="A214" t="n">
        <v>213</v>
      </c>
      <c r="B214">
        <f>IF(RAND()&lt;0.55,1,-1)</f>
        <v/>
      </c>
      <c r="C214">
        <f>IF(B214=1,2,-1)</f>
        <v/>
      </c>
      <c r="D214" t="n">
        <v>0.01</v>
      </c>
      <c r="E214">
        <f>B214*C214*D214</f>
        <v/>
      </c>
    </row>
    <row r="215">
      <c r="A215" t="n">
        <v>214</v>
      </c>
      <c r="B215">
        <f>IF(RAND()&lt;0.55,1,-1)</f>
        <v/>
      </c>
      <c r="C215">
        <f>IF(B215=1,2,-1)</f>
        <v/>
      </c>
      <c r="D215" t="n">
        <v>0.01</v>
      </c>
      <c r="E215">
        <f>B215*C215*D215</f>
        <v/>
      </c>
    </row>
    <row r="216">
      <c r="A216" t="n">
        <v>215</v>
      </c>
      <c r="B216">
        <f>IF(RAND()&lt;0.55,1,-1)</f>
        <v/>
      </c>
      <c r="C216">
        <f>IF(B216=1,2,-1)</f>
        <v/>
      </c>
      <c r="D216" t="n">
        <v>0.01</v>
      </c>
      <c r="E216">
        <f>B216*C216*D216</f>
        <v/>
      </c>
    </row>
    <row r="217">
      <c r="A217" t="n">
        <v>216</v>
      </c>
      <c r="B217">
        <f>IF(RAND()&lt;0.55,1,-1)</f>
        <v/>
      </c>
      <c r="C217">
        <f>IF(B217=1,2,-1)</f>
        <v/>
      </c>
      <c r="D217" t="n">
        <v>0.01</v>
      </c>
      <c r="E217">
        <f>B217*C217*D217</f>
        <v/>
      </c>
    </row>
    <row r="218">
      <c r="A218" t="n">
        <v>217</v>
      </c>
      <c r="B218">
        <f>IF(RAND()&lt;0.55,1,-1)</f>
        <v/>
      </c>
      <c r="C218">
        <f>IF(B218=1,2,-1)</f>
        <v/>
      </c>
      <c r="D218" t="n">
        <v>0.01</v>
      </c>
      <c r="E218">
        <f>B218*C218*D218</f>
        <v/>
      </c>
    </row>
    <row r="219">
      <c r="A219" t="n">
        <v>218</v>
      </c>
      <c r="B219">
        <f>IF(RAND()&lt;0.55,1,-1)</f>
        <v/>
      </c>
      <c r="C219">
        <f>IF(B219=1,2,-1)</f>
        <v/>
      </c>
      <c r="D219" t="n">
        <v>0.01</v>
      </c>
      <c r="E219">
        <f>B219*C219*D219</f>
        <v/>
      </c>
    </row>
    <row r="220">
      <c r="A220" t="n">
        <v>219</v>
      </c>
      <c r="B220">
        <f>IF(RAND()&lt;0.55,1,-1)</f>
        <v/>
      </c>
      <c r="C220">
        <f>IF(B220=1,2,-1)</f>
        <v/>
      </c>
      <c r="D220" t="n">
        <v>0.01</v>
      </c>
      <c r="E220">
        <f>B220*C220*D220</f>
        <v/>
      </c>
    </row>
    <row r="221">
      <c r="A221" t="n">
        <v>220</v>
      </c>
      <c r="B221">
        <f>IF(RAND()&lt;0.55,1,-1)</f>
        <v/>
      </c>
      <c r="C221">
        <f>IF(B221=1,2,-1)</f>
        <v/>
      </c>
      <c r="D221" t="n">
        <v>0.01</v>
      </c>
      <c r="E221">
        <f>B221*C221*D221</f>
        <v/>
      </c>
    </row>
    <row r="222">
      <c r="A222" t="n">
        <v>221</v>
      </c>
      <c r="B222">
        <f>IF(RAND()&lt;0.55,1,-1)</f>
        <v/>
      </c>
      <c r="C222">
        <f>IF(B222=1,2,-1)</f>
        <v/>
      </c>
      <c r="D222" t="n">
        <v>0.01</v>
      </c>
      <c r="E222">
        <f>B222*C222*D222</f>
        <v/>
      </c>
    </row>
    <row r="223">
      <c r="A223" t="n">
        <v>222</v>
      </c>
      <c r="B223">
        <f>IF(RAND()&lt;0.55,1,-1)</f>
        <v/>
      </c>
      <c r="C223">
        <f>IF(B223=1,2,-1)</f>
        <v/>
      </c>
      <c r="D223" t="n">
        <v>0.01</v>
      </c>
      <c r="E223">
        <f>B223*C223*D223</f>
        <v/>
      </c>
    </row>
    <row r="224">
      <c r="A224" t="n">
        <v>223</v>
      </c>
      <c r="B224">
        <f>IF(RAND()&lt;0.55,1,-1)</f>
        <v/>
      </c>
      <c r="C224">
        <f>IF(B224=1,2,-1)</f>
        <v/>
      </c>
      <c r="D224" t="n">
        <v>0.01</v>
      </c>
      <c r="E224">
        <f>B224*C224*D224</f>
        <v/>
      </c>
    </row>
    <row r="225">
      <c r="A225" t="n">
        <v>224</v>
      </c>
      <c r="B225">
        <f>IF(RAND()&lt;0.55,1,-1)</f>
        <v/>
      </c>
      <c r="C225">
        <f>IF(B225=1,2,-1)</f>
        <v/>
      </c>
      <c r="D225" t="n">
        <v>0.01</v>
      </c>
      <c r="E225">
        <f>B225*C225*D225</f>
        <v/>
      </c>
    </row>
    <row r="226">
      <c r="A226" t="n">
        <v>225</v>
      </c>
      <c r="B226">
        <f>IF(RAND()&lt;0.55,1,-1)</f>
        <v/>
      </c>
      <c r="C226">
        <f>IF(B226=1,2,-1)</f>
        <v/>
      </c>
      <c r="D226" t="n">
        <v>0.01</v>
      </c>
      <c r="E226">
        <f>B226*C226*D226</f>
        <v/>
      </c>
    </row>
    <row r="227">
      <c r="A227" t="n">
        <v>226</v>
      </c>
      <c r="B227">
        <f>IF(RAND()&lt;0.55,1,-1)</f>
        <v/>
      </c>
      <c r="C227">
        <f>IF(B227=1,2,-1)</f>
        <v/>
      </c>
      <c r="D227" t="n">
        <v>0.01</v>
      </c>
      <c r="E227">
        <f>B227*C227*D227</f>
        <v/>
      </c>
    </row>
    <row r="228">
      <c r="A228" t="n">
        <v>227</v>
      </c>
      <c r="B228">
        <f>IF(RAND()&lt;0.55,1,-1)</f>
        <v/>
      </c>
      <c r="C228">
        <f>IF(B228=1,2,-1)</f>
        <v/>
      </c>
      <c r="D228" t="n">
        <v>0.01</v>
      </c>
      <c r="E228">
        <f>B228*C228*D228</f>
        <v/>
      </c>
    </row>
    <row r="229">
      <c r="A229" t="n">
        <v>228</v>
      </c>
      <c r="B229">
        <f>IF(RAND()&lt;0.55,1,-1)</f>
        <v/>
      </c>
      <c r="C229">
        <f>IF(B229=1,2,-1)</f>
        <v/>
      </c>
      <c r="D229" t="n">
        <v>0.01</v>
      </c>
      <c r="E229">
        <f>B229*C229*D229</f>
        <v/>
      </c>
    </row>
    <row r="230">
      <c r="A230" t="n">
        <v>229</v>
      </c>
      <c r="B230">
        <f>IF(RAND()&lt;0.55,1,-1)</f>
        <v/>
      </c>
      <c r="C230">
        <f>IF(B230=1,2,-1)</f>
        <v/>
      </c>
      <c r="D230" t="n">
        <v>0.01</v>
      </c>
      <c r="E230">
        <f>B230*C230*D230</f>
        <v/>
      </c>
    </row>
    <row r="231">
      <c r="A231" t="n">
        <v>230</v>
      </c>
      <c r="B231">
        <f>IF(RAND()&lt;0.55,1,-1)</f>
        <v/>
      </c>
      <c r="C231">
        <f>IF(B231=1,2,-1)</f>
        <v/>
      </c>
      <c r="D231" t="n">
        <v>0.01</v>
      </c>
      <c r="E231">
        <f>B231*C231*D231</f>
        <v/>
      </c>
    </row>
    <row r="232">
      <c r="A232" t="n">
        <v>231</v>
      </c>
      <c r="B232">
        <f>IF(RAND()&lt;0.55,1,-1)</f>
        <v/>
      </c>
      <c r="C232">
        <f>IF(B232=1,2,-1)</f>
        <v/>
      </c>
      <c r="D232" t="n">
        <v>0.01</v>
      </c>
      <c r="E232">
        <f>B232*C232*D232</f>
        <v/>
      </c>
    </row>
    <row r="233">
      <c r="A233" t="n">
        <v>232</v>
      </c>
      <c r="B233">
        <f>IF(RAND()&lt;0.55,1,-1)</f>
        <v/>
      </c>
      <c r="C233">
        <f>IF(B233=1,2,-1)</f>
        <v/>
      </c>
      <c r="D233" t="n">
        <v>0.01</v>
      </c>
      <c r="E233">
        <f>B233*C233*D233</f>
        <v/>
      </c>
    </row>
    <row r="234">
      <c r="A234" t="n">
        <v>233</v>
      </c>
      <c r="B234">
        <f>IF(RAND()&lt;0.55,1,-1)</f>
        <v/>
      </c>
      <c r="C234">
        <f>IF(B234=1,2,-1)</f>
        <v/>
      </c>
      <c r="D234" t="n">
        <v>0.01</v>
      </c>
      <c r="E234">
        <f>B234*C234*D234</f>
        <v/>
      </c>
    </row>
    <row r="235">
      <c r="A235" t="n">
        <v>234</v>
      </c>
      <c r="B235">
        <f>IF(RAND()&lt;0.55,1,-1)</f>
        <v/>
      </c>
      <c r="C235">
        <f>IF(B235=1,2,-1)</f>
        <v/>
      </c>
      <c r="D235" t="n">
        <v>0.01</v>
      </c>
      <c r="E235">
        <f>B235*C235*D235</f>
        <v/>
      </c>
    </row>
    <row r="236">
      <c r="A236" t="n">
        <v>235</v>
      </c>
      <c r="B236">
        <f>IF(RAND()&lt;0.55,1,-1)</f>
        <v/>
      </c>
      <c r="C236">
        <f>IF(B236=1,2,-1)</f>
        <v/>
      </c>
      <c r="D236" t="n">
        <v>0.01</v>
      </c>
      <c r="E236">
        <f>B236*C236*D236</f>
        <v/>
      </c>
    </row>
    <row r="237">
      <c r="A237" t="n">
        <v>236</v>
      </c>
      <c r="B237">
        <f>IF(RAND()&lt;0.55,1,-1)</f>
        <v/>
      </c>
      <c r="C237">
        <f>IF(B237=1,2,-1)</f>
        <v/>
      </c>
      <c r="D237" t="n">
        <v>0.01</v>
      </c>
      <c r="E237">
        <f>B237*C237*D237</f>
        <v/>
      </c>
    </row>
    <row r="238">
      <c r="A238" t="n">
        <v>237</v>
      </c>
      <c r="B238">
        <f>IF(RAND()&lt;0.55,1,-1)</f>
        <v/>
      </c>
      <c r="C238">
        <f>IF(B238=1,2,-1)</f>
        <v/>
      </c>
      <c r="D238" t="n">
        <v>0.01</v>
      </c>
      <c r="E238">
        <f>B238*C238*D238</f>
        <v/>
      </c>
    </row>
    <row r="239">
      <c r="A239" t="n">
        <v>238</v>
      </c>
      <c r="B239">
        <f>IF(RAND()&lt;0.55,1,-1)</f>
        <v/>
      </c>
      <c r="C239">
        <f>IF(B239=1,2,-1)</f>
        <v/>
      </c>
      <c r="D239" t="n">
        <v>0.01</v>
      </c>
      <c r="E239">
        <f>B239*C239*D239</f>
        <v/>
      </c>
    </row>
    <row r="240">
      <c r="A240" t="n">
        <v>239</v>
      </c>
      <c r="B240">
        <f>IF(RAND()&lt;0.55,1,-1)</f>
        <v/>
      </c>
      <c r="C240">
        <f>IF(B240=1,2,-1)</f>
        <v/>
      </c>
      <c r="D240" t="n">
        <v>0.01</v>
      </c>
      <c r="E240">
        <f>B240*C240*D240</f>
        <v/>
      </c>
    </row>
    <row r="241">
      <c r="A241" t="n">
        <v>240</v>
      </c>
      <c r="B241">
        <f>IF(RAND()&lt;0.55,1,-1)</f>
        <v/>
      </c>
      <c r="C241">
        <f>IF(B241=1,2,-1)</f>
        <v/>
      </c>
      <c r="D241" t="n">
        <v>0.01</v>
      </c>
      <c r="E241">
        <f>B241*C241*D241</f>
        <v/>
      </c>
    </row>
    <row r="242">
      <c r="A242" t="n">
        <v>241</v>
      </c>
      <c r="B242">
        <f>IF(RAND()&lt;0.55,1,-1)</f>
        <v/>
      </c>
      <c r="C242">
        <f>IF(B242=1,2,-1)</f>
        <v/>
      </c>
      <c r="D242" t="n">
        <v>0.01</v>
      </c>
      <c r="E242">
        <f>B242*C242*D242</f>
        <v/>
      </c>
    </row>
    <row r="243">
      <c r="A243" t="n">
        <v>242</v>
      </c>
      <c r="B243">
        <f>IF(RAND()&lt;0.55,1,-1)</f>
        <v/>
      </c>
      <c r="C243">
        <f>IF(B243=1,2,-1)</f>
        <v/>
      </c>
      <c r="D243" t="n">
        <v>0.01</v>
      </c>
      <c r="E243">
        <f>B243*C243*D243</f>
        <v/>
      </c>
    </row>
    <row r="244">
      <c r="A244" t="n">
        <v>243</v>
      </c>
      <c r="B244">
        <f>IF(RAND()&lt;0.55,1,-1)</f>
        <v/>
      </c>
      <c r="C244">
        <f>IF(B244=1,2,-1)</f>
        <v/>
      </c>
      <c r="D244" t="n">
        <v>0.01</v>
      </c>
      <c r="E244">
        <f>B244*C244*D244</f>
        <v/>
      </c>
    </row>
    <row r="245">
      <c r="A245" t="n">
        <v>244</v>
      </c>
      <c r="B245">
        <f>IF(RAND()&lt;0.55,1,-1)</f>
        <v/>
      </c>
      <c r="C245">
        <f>IF(B245=1,2,-1)</f>
        <v/>
      </c>
      <c r="D245" t="n">
        <v>0.01</v>
      </c>
      <c r="E245">
        <f>B245*C245*D245</f>
        <v/>
      </c>
    </row>
    <row r="246">
      <c r="A246" t="n">
        <v>245</v>
      </c>
      <c r="B246">
        <f>IF(RAND()&lt;0.55,1,-1)</f>
        <v/>
      </c>
      <c r="C246">
        <f>IF(B246=1,2,-1)</f>
        <v/>
      </c>
      <c r="D246" t="n">
        <v>0.01</v>
      </c>
      <c r="E246">
        <f>B246*C246*D246</f>
        <v/>
      </c>
    </row>
    <row r="247">
      <c r="A247" t="n">
        <v>246</v>
      </c>
      <c r="B247">
        <f>IF(RAND()&lt;0.55,1,-1)</f>
        <v/>
      </c>
      <c r="C247">
        <f>IF(B247=1,2,-1)</f>
        <v/>
      </c>
      <c r="D247" t="n">
        <v>0.01</v>
      </c>
      <c r="E247">
        <f>B247*C247*D247</f>
        <v/>
      </c>
    </row>
    <row r="248">
      <c r="A248" t="n">
        <v>247</v>
      </c>
      <c r="B248">
        <f>IF(RAND()&lt;0.55,1,-1)</f>
        <v/>
      </c>
      <c r="C248">
        <f>IF(B248=1,2,-1)</f>
        <v/>
      </c>
      <c r="D248" t="n">
        <v>0.01</v>
      </c>
      <c r="E248">
        <f>B248*C248*D248</f>
        <v/>
      </c>
    </row>
    <row r="249">
      <c r="A249" t="n">
        <v>248</v>
      </c>
      <c r="B249">
        <f>IF(RAND()&lt;0.55,1,-1)</f>
        <v/>
      </c>
      <c r="C249">
        <f>IF(B249=1,2,-1)</f>
        <v/>
      </c>
      <c r="D249" t="n">
        <v>0.01</v>
      </c>
      <c r="E249">
        <f>B249*C249*D249</f>
        <v/>
      </c>
    </row>
    <row r="250">
      <c r="A250" t="n">
        <v>249</v>
      </c>
      <c r="B250">
        <f>IF(RAND()&lt;0.55,1,-1)</f>
        <v/>
      </c>
      <c r="C250">
        <f>IF(B250=1,2,-1)</f>
        <v/>
      </c>
      <c r="D250" t="n">
        <v>0.01</v>
      </c>
      <c r="E250">
        <f>B250*C250*D250</f>
        <v/>
      </c>
    </row>
    <row r="251">
      <c r="A251" t="n">
        <v>250</v>
      </c>
      <c r="B251">
        <f>IF(RAND()&lt;0.55,1,-1)</f>
        <v/>
      </c>
      <c r="C251">
        <f>IF(B251=1,2,-1)</f>
        <v/>
      </c>
      <c r="D251" t="n">
        <v>0.01</v>
      </c>
      <c r="E251">
        <f>B251*C251*D251</f>
        <v/>
      </c>
    </row>
    <row r="252">
      <c r="A252" t="n">
        <v>251</v>
      </c>
      <c r="B252">
        <f>IF(RAND()&lt;0.55,1,-1)</f>
        <v/>
      </c>
      <c r="C252">
        <f>IF(B252=1,2,-1)</f>
        <v/>
      </c>
      <c r="D252" t="n">
        <v>0.01</v>
      </c>
      <c r="E252">
        <f>B252*C252*D252</f>
        <v/>
      </c>
    </row>
    <row r="253">
      <c r="A253" t="n">
        <v>252</v>
      </c>
      <c r="B253">
        <f>IF(RAND()&lt;0.55,1,-1)</f>
        <v/>
      </c>
      <c r="C253">
        <f>IF(B253=1,2,-1)</f>
        <v/>
      </c>
      <c r="D253" t="n">
        <v>0.01</v>
      </c>
      <c r="E253">
        <f>B253*C253*D253</f>
        <v/>
      </c>
    </row>
    <row r="254">
      <c r="A254" t="n">
        <v>253</v>
      </c>
      <c r="B254">
        <f>IF(RAND()&lt;0.55,1,-1)</f>
        <v/>
      </c>
      <c r="C254">
        <f>IF(B254=1,2,-1)</f>
        <v/>
      </c>
      <c r="D254" t="n">
        <v>0.01</v>
      </c>
      <c r="E254">
        <f>B254*C254*D254</f>
        <v/>
      </c>
    </row>
    <row r="255">
      <c r="A255" t="n">
        <v>254</v>
      </c>
      <c r="B255">
        <f>IF(RAND()&lt;0.55,1,-1)</f>
        <v/>
      </c>
      <c r="C255">
        <f>IF(B255=1,2,-1)</f>
        <v/>
      </c>
      <c r="D255" t="n">
        <v>0.01</v>
      </c>
      <c r="E255">
        <f>B255*C255*D255</f>
        <v/>
      </c>
    </row>
    <row r="256">
      <c r="A256" t="n">
        <v>255</v>
      </c>
      <c r="B256">
        <f>IF(RAND()&lt;0.55,1,-1)</f>
        <v/>
      </c>
      <c r="C256">
        <f>IF(B256=1,2,-1)</f>
        <v/>
      </c>
      <c r="D256" t="n">
        <v>0.01</v>
      </c>
      <c r="E256">
        <f>B256*C256*D256</f>
        <v/>
      </c>
    </row>
    <row r="257">
      <c r="A257" t="n">
        <v>256</v>
      </c>
      <c r="B257">
        <f>IF(RAND()&lt;0.55,1,-1)</f>
        <v/>
      </c>
      <c r="C257">
        <f>IF(B257=1,2,-1)</f>
        <v/>
      </c>
      <c r="D257" t="n">
        <v>0.01</v>
      </c>
      <c r="E257">
        <f>B257*C257*D257</f>
        <v/>
      </c>
    </row>
    <row r="258">
      <c r="A258" t="n">
        <v>257</v>
      </c>
      <c r="B258">
        <f>IF(RAND()&lt;0.55,1,-1)</f>
        <v/>
      </c>
      <c r="C258">
        <f>IF(B258=1,2,-1)</f>
        <v/>
      </c>
      <c r="D258" t="n">
        <v>0.01</v>
      </c>
      <c r="E258">
        <f>B258*C258*D258</f>
        <v/>
      </c>
    </row>
    <row r="259">
      <c r="A259" t="n">
        <v>258</v>
      </c>
      <c r="B259">
        <f>IF(RAND()&lt;0.55,1,-1)</f>
        <v/>
      </c>
      <c r="C259">
        <f>IF(B259=1,2,-1)</f>
        <v/>
      </c>
      <c r="D259" t="n">
        <v>0.01</v>
      </c>
      <c r="E259">
        <f>B259*C259*D259</f>
        <v/>
      </c>
    </row>
    <row r="260">
      <c r="A260" t="n">
        <v>259</v>
      </c>
      <c r="B260">
        <f>IF(RAND()&lt;0.55,1,-1)</f>
        <v/>
      </c>
      <c r="C260">
        <f>IF(B260=1,2,-1)</f>
        <v/>
      </c>
      <c r="D260" t="n">
        <v>0.01</v>
      </c>
      <c r="E260">
        <f>B260*C260*D260</f>
        <v/>
      </c>
    </row>
    <row r="261">
      <c r="A261" t="n">
        <v>260</v>
      </c>
      <c r="B261">
        <f>IF(RAND()&lt;0.55,1,-1)</f>
        <v/>
      </c>
      <c r="C261">
        <f>IF(B261=1,2,-1)</f>
        <v/>
      </c>
      <c r="D261" t="n">
        <v>0.01</v>
      </c>
      <c r="E261">
        <f>B261*C261*D261</f>
        <v/>
      </c>
    </row>
    <row r="262">
      <c r="A262" t="n">
        <v>261</v>
      </c>
      <c r="B262">
        <f>IF(RAND()&lt;0.55,1,-1)</f>
        <v/>
      </c>
      <c r="C262">
        <f>IF(B262=1,2,-1)</f>
        <v/>
      </c>
      <c r="D262" t="n">
        <v>0.01</v>
      </c>
      <c r="E262">
        <f>B262*C262*D262</f>
        <v/>
      </c>
    </row>
    <row r="263">
      <c r="A263" t="n">
        <v>262</v>
      </c>
      <c r="B263">
        <f>IF(RAND()&lt;0.55,1,-1)</f>
        <v/>
      </c>
      <c r="C263">
        <f>IF(B263=1,2,-1)</f>
        <v/>
      </c>
      <c r="D263" t="n">
        <v>0.01</v>
      </c>
      <c r="E263">
        <f>B263*C263*D263</f>
        <v/>
      </c>
    </row>
    <row r="264">
      <c r="A264" t="n">
        <v>263</v>
      </c>
      <c r="B264">
        <f>IF(RAND()&lt;0.55,1,-1)</f>
        <v/>
      </c>
      <c r="C264">
        <f>IF(B264=1,2,-1)</f>
        <v/>
      </c>
      <c r="D264" t="n">
        <v>0.01</v>
      </c>
      <c r="E264">
        <f>B264*C264*D264</f>
        <v/>
      </c>
    </row>
    <row r="265">
      <c r="A265" t="n">
        <v>264</v>
      </c>
      <c r="B265">
        <f>IF(RAND()&lt;0.55,1,-1)</f>
        <v/>
      </c>
      <c r="C265">
        <f>IF(B265=1,2,-1)</f>
        <v/>
      </c>
      <c r="D265" t="n">
        <v>0.01</v>
      </c>
      <c r="E265">
        <f>B265*C265*D265</f>
        <v/>
      </c>
    </row>
    <row r="266">
      <c r="A266" t="n">
        <v>265</v>
      </c>
      <c r="B266">
        <f>IF(RAND()&lt;0.55,1,-1)</f>
        <v/>
      </c>
      <c r="C266">
        <f>IF(B266=1,2,-1)</f>
        <v/>
      </c>
      <c r="D266" t="n">
        <v>0.01</v>
      </c>
      <c r="E266">
        <f>B266*C266*D266</f>
        <v/>
      </c>
    </row>
    <row r="267">
      <c r="A267" t="n">
        <v>266</v>
      </c>
      <c r="B267">
        <f>IF(RAND()&lt;0.55,1,-1)</f>
        <v/>
      </c>
      <c r="C267">
        <f>IF(B267=1,2,-1)</f>
        <v/>
      </c>
      <c r="D267" t="n">
        <v>0.01</v>
      </c>
      <c r="E267">
        <f>B267*C267*D267</f>
        <v/>
      </c>
    </row>
    <row r="268">
      <c r="A268" t="n">
        <v>267</v>
      </c>
      <c r="B268">
        <f>IF(RAND()&lt;0.55,1,-1)</f>
        <v/>
      </c>
      <c r="C268">
        <f>IF(B268=1,2,-1)</f>
        <v/>
      </c>
      <c r="D268" t="n">
        <v>0.01</v>
      </c>
      <c r="E268">
        <f>B268*C268*D268</f>
        <v/>
      </c>
    </row>
    <row r="269">
      <c r="A269" t="n">
        <v>268</v>
      </c>
      <c r="B269">
        <f>IF(RAND()&lt;0.55,1,-1)</f>
        <v/>
      </c>
      <c r="C269">
        <f>IF(B269=1,2,-1)</f>
        <v/>
      </c>
      <c r="D269" t="n">
        <v>0.01</v>
      </c>
      <c r="E269">
        <f>B269*C269*D269</f>
        <v/>
      </c>
    </row>
    <row r="270">
      <c r="A270" t="n">
        <v>269</v>
      </c>
      <c r="B270">
        <f>IF(RAND()&lt;0.55,1,-1)</f>
        <v/>
      </c>
      <c r="C270">
        <f>IF(B270=1,2,-1)</f>
        <v/>
      </c>
      <c r="D270" t="n">
        <v>0.01</v>
      </c>
      <c r="E270">
        <f>B270*C270*D270</f>
        <v/>
      </c>
    </row>
    <row r="271">
      <c r="A271" t="n">
        <v>270</v>
      </c>
      <c r="B271">
        <f>IF(RAND()&lt;0.55,1,-1)</f>
        <v/>
      </c>
      <c r="C271">
        <f>IF(B271=1,2,-1)</f>
        <v/>
      </c>
      <c r="D271" t="n">
        <v>0.01</v>
      </c>
      <c r="E271">
        <f>B271*C271*D271</f>
        <v/>
      </c>
    </row>
    <row r="272">
      <c r="A272" t="n">
        <v>271</v>
      </c>
      <c r="B272">
        <f>IF(RAND()&lt;0.55,1,-1)</f>
        <v/>
      </c>
      <c r="C272">
        <f>IF(B272=1,2,-1)</f>
        <v/>
      </c>
      <c r="D272" t="n">
        <v>0.01</v>
      </c>
      <c r="E272">
        <f>B272*C272*D272</f>
        <v/>
      </c>
    </row>
    <row r="273">
      <c r="A273" t="n">
        <v>272</v>
      </c>
      <c r="B273">
        <f>IF(RAND()&lt;0.55,1,-1)</f>
        <v/>
      </c>
      <c r="C273">
        <f>IF(B273=1,2,-1)</f>
        <v/>
      </c>
      <c r="D273" t="n">
        <v>0.01</v>
      </c>
      <c r="E273">
        <f>B273*C273*D273</f>
        <v/>
      </c>
    </row>
    <row r="274">
      <c r="A274" t="n">
        <v>273</v>
      </c>
      <c r="B274">
        <f>IF(RAND()&lt;0.55,1,-1)</f>
        <v/>
      </c>
      <c r="C274">
        <f>IF(B274=1,2,-1)</f>
        <v/>
      </c>
      <c r="D274" t="n">
        <v>0.01</v>
      </c>
      <c r="E274">
        <f>B274*C274*D274</f>
        <v/>
      </c>
    </row>
    <row r="275">
      <c r="A275" t="n">
        <v>274</v>
      </c>
      <c r="B275">
        <f>IF(RAND()&lt;0.55,1,-1)</f>
        <v/>
      </c>
      <c r="C275">
        <f>IF(B275=1,2,-1)</f>
        <v/>
      </c>
      <c r="D275" t="n">
        <v>0.01</v>
      </c>
      <c r="E275">
        <f>B275*C275*D275</f>
        <v/>
      </c>
    </row>
    <row r="276">
      <c r="A276" t="n">
        <v>275</v>
      </c>
      <c r="B276">
        <f>IF(RAND()&lt;0.55,1,-1)</f>
        <v/>
      </c>
      <c r="C276">
        <f>IF(B276=1,2,-1)</f>
        <v/>
      </c>
      <c r="D276" t="n">
        <v>0.01</v>
      </c>
      <c r="E276">
        <f>B276*C276*D276</f>
        <v/>
      </c>
    </row>
    <row r="277">
      <c r="A277" t="n">
        <v>276</v>
      </c>
      <c r="B277">
        <f>IF(RAND()&lt;0.55,1,-1)</f>
        <v/>
      </c>
      <c r="C277">
        <f>IF(B277=1,2,-1)</f>
        <v/>
      </c>
      <c r="D277" t="n">
        <v>0.01</v>
      </c>
      <c r="E277">
        <f>B277*C277*D277</f>
        <v/>
      </c>
    </row>
    <row r="278">
      <c r="A278" t="n">
        <v>277</v>
      </c>
      <c r="B278">
        <f>IF(RAND()&lt;0.55,1,-1)</f>
        <v/>
      </c>
      <c r="C278">
        <f>IF(B278=1,2,-1)</f>
        <v/>
      </c>
      <c r="D278" t="n">
        <v>0.01</v>
      </c>
      <c r="E278">
        <f>B278*C278*D278</f>
        <v/>
      </c>
    </row>
    <row r="279">
      <c r="A279" t="n">
        <v>278</v>
      </c>
      <c r="B279">
        <f>IF(RAND()&lt;0.55,1,-1)</f>
        <v/>
      </c>
      <c r="C279">
        <f>IF(B279=1,2,-1)</f>
        <v/>
      </c>
      <c r="D279" t="n">
        <v>0.01</v>
      </c>
      <c r="E279">
        <f>B279*C279*D279</f>
        <v/>
      </c>
    </row>
    <row r="280">
      <c r="A280" t="n">
        <v>279</v>
      </c>
      <c r="B280">
        <f>IF(RAND()&lt;0.55,1,-1)</f>
        <v/>
      </c>
      <c r="C280">
        <f>IF(B280=1,2,-1)</f>
        <v/>
      </c>
      <c r="D280" t="n">
        <v>0.01</v>
      </c>
      <c r="E280">
        <f>B280*C280*D280</f>
        <v/>
      </c>
    </row>
    <row r="281">
      <c r="A281" t="n">
        <v>280</v>
      </c>
      <c r="B281">
        <f>IF(RAND()&lt;0.55,1,-1)</f>
        <v/>
      </c>
      <c r="C281">
        <f>IF(B281=1,2,-1)</f>
        <v/>
      </c>
      <c r="D281" t="n">
        <v>0.01</v>
      </c>
      <c r="E281">
        <f>B281*C281*D281</f>
        <v/>
      </c>
    </row>
    <row r="282">
      <c r="A282" t="n">
        <v>281</v>
      </c>
      <c r="B282">
        <f>IF(RAND()&lt;0.55,1,-1)</f>
        <v/>
      </c>
      <c r="C282">
        <f>IF(B282=1,2,-1)</f>
        <v/>
      </c>
      <c r="D282" t="n">
        <v>0.01</v>
      </c>
      <c r="E282">
        <f>B282*C282*D282</f>
        <v/>
      </c>
    </row>
    <row r="283">
      <c r="A283" t="n">
        <v>282</v>
      </c>
      <c r="B283">
        <f>IF(RAND()&lt;0.55,1,-1)</f>
        <v/>
      </c>
      <c r="C283">
        <f>IF(B283=1,2,-1)</f>
        <v/>
      </c>
      <c r="D283" t="n">
        <v>0.01</v>
      </c>
      <c r="E283">
        <f>B283*C283*D283</f>
        <v/>
      </c>
    </row>
    <row r="284">
      <c r="A284" t="n">
        <v>283</v>
      </c>
      <c r="B284">
        <f>IF(RAND()&lt;0.55,1,-1)</f>
        <v/>
      </c>
      <c r="C284">
        <f>IF(B284=1,2,-1)</f>
        <v/>
      </c>
      <c r="D284" t="n">
        <v>0.01</v>
      </c>
      <c r="E284">
        <f>B284*C284*D284</f>
        <v/>
      </c>
    </row>
    <row r="285">
      <c r="A285" t="n">
        <v>284</v>
      </c>
      <c r="B285">
        <f>IF(RAND()&lt;0.55,1,-1)</f>
        <v/>
      </c>
      <c r="C285">
        <f>IF(B285=1,2,-1)</f>
        <v/>
      </c>
      <c r="D285" t="n">
        <v>0.01</v>
      </c>
      <c r="E285">
        <f>B285*C285*D285</f>
        <v/>
      </c>
    </row>
    <row r="286">
      <c r="A286" t="n">
        <v>285</v>
      </c>
      <c r="B286">
        <f>IF(RAND()&lt;0.55,1,-1)</f>
        <v/>
      </c>
      <c r="C286">
        <f>IF(B286=1,2,-1)</f>
        <v/>
      </c>
      <c r="D286" t="n">
        <v>0.01</v>
      </c>
      <c r="E286">
        <f>B286*C286*D286</f>
        <v/>
      </c>
    </row>
    <row r="287">
      <c r="A287" t="n">
        <v>286</v>
      </c>
      <c r="B287">
        <f>IF(RAND()&lt;0.55,1,-1)</f>
        <v/>
      </c>
      <c r="C287">
        <f>IF(B287=1,2,-1)</f>
        <v/>
      </c>
      <c r="D287" t="n">
        <v>0.01</v>
      </c>
      <c r="E287">
        <f>B287*C287*D287</f>
        <v/>
      </c>
    </row>
    <row r="288">
      <c r="A288" t="n">
        <v>287</v>
      </c>
      <c r="B288">
        <f>IF(RAND()&lt;0.55,1,-1)</f>
        <v/>
      </c>
      <c r="C288">
        <f>IF(B288=1,2,-1)</f>
        <v/>
      </c>
      <c r="D288" t="n">
        <v>0.01</v>
      </c>
      <c r="E288">
        <f>B288*C288*D288</f>
        <v/>
      </c>
    </row>
    <row r="289">
      <c r="A289" t="n">
        <v>288</v>
      </c>
      <c r="B289">
        <f>IF(RAND()&lt;0.55,1,-1)</f>
        <v/>
      </c>
      <c r="C289">
        <f>IF(B289=1,2,-1)</f>
        <v/>
      </c>
      <c r="D289" t="n">
        <v>0.01</v>
      </c>
      <c r="E289">
        <f>B289*C289*D289</f>
        <v/>
      </c>
    </row>
    <row r="290">
      <c r="A290" t="n">
        <v>289</v>
      </c>
      <c r="B290">
        <f>IF(RAND()&lt;0.55,1,-1)</f>
        <v/>
      </c>
      <c r="C290">
        <f>IF(B290=1,2,-1)</f>
        <v/>
      </c>
      <c r="D290" t="n">
        <v>0.01</v>
      </c>
      <c r="E290">
        <f>B290*C290*D290</f>
        <v/>
      </c>
    </row>
    <row r="291">
      <c r="A291" t="n">
        <v>290</v>
      </c>
      <c r="B291">
        <f>IF(RAND()&lt;0.55,1,-1)</f>
        <v/>
      </c>
      <c r="C291">
        <f>IF(B291=1,2,-1)</f>
        <v/>
      </c>
      <c r="D291" t="n">
        <v>0.01</v>
      </c>
      <c r="E291">
        <f>B291*C291*D291</f>
        <v/>
      </c>
    </row>
    <row r="292">
      <c r="A292" t="n">
        <v>291</v>
      </c>
      <c r="B292">
        <f>IF(RAND()&lt;0.55,1,-1)</f>
        <v/>
      </c>
      <c r="C292">
        <f>IF(B292=1,2,-1)</f>
        <v/>
      </c>
      <c r="D292" t="n">
        <v>0.01</v>
      </c>
      <c r="E292">
        <f>B292*C292*D292</f>
        <v/>
      </c>
    </row>
    <row r="293">
      <c r="A293" t="n">
        <v>292</v>
      </c>
      <c r="B293">
        <f>IF(RAND()&lt;0.55,1,-1)</f>
        <v/>
      </c>
      <c r="C293">
        <f>IF(B293=1,2,-1)</f>
        <v/>
      </c>
      <c r="D293" t="n">
        <v>0.01</v>
      </c>
      <c r="E293">
        <f>B293*C293*D293</f>
        <v/>
      </c>
    </row>
    <row r="294">
      <c r="A294" t="n">
        <v>293</v>
      </c>
      <c r="B294">
        <f>IF(RAND()&lt;0.55,1,-1)</f>
        <v/>
      </c>
      <c r="C294">
        <f>IF(B294=1,2,-1)</f>
        <v/>
      </c>
      <c r="D294" t="n">
        <v>0.01</v>
      </c>
      <c r="E294">
        <f>B294*C294*D294</f>
        <v/>
      </c>
    </row>
    <row r="295">
      <c r="A295" t="n">
        <v>294</v>
      </c>
      <c r="B295">
        <f>IF(RAND()&lt;0.55,1,-1)</f>
        <v/>
      </c>
      <c r="C295">
        <f>IF(B295=1,2,-1)</f>
        <v/>
      </c>
      <c r="D295" t="n">
        <v>0.01</v>
      </c>
      <c r="E295">
        <f>B295*C295*D295</f>
        <v/>
      </c>
    </row>
    <row r="296">
      <c r="A296" t="n">
        <v>295</v>
      </c>
      <c r="B296">
        <f>IF(RAND()&lt;0.55,1,-1)</f>
        <v/>
      </c>
      <c r="C296">
        <f>IF(B296=1,2,-1)</f>
        <v/>
      </c>
      <c r="D296" t="n">
        <v>0.01</v>
      </c>
      <c r="E296">
        <f>B296*C296*D296</f>
        <v/>
      </c>
    </row>
    <row r="297">
      <c r="A297" t="n">
        <v>296</v>
      </c>
      <c r="B297">
        <f>IF(RAND()&lt;0.55,1,-1)</f>
        <v/>
      </c>
      <c r="C297">
        <f>IF(B297=1,2,-1)</f>
        <v/>
      </c>
      <c r="D297" t="n">
        <v>0.01</v>
      </c>
      <c r="E297">
        <f>B297*C297*D297</f>
        <v/>
      </c>
    </row>
    <row r="298">
      <c r="A298" t="n">
        <v>297</v>
      </c>
      <c r="B298">
        <f>IF(RAND()&lt;0.55,1,-1)</f>
        <v/>
      </c>
      <c r="C298">
        <f>IF(B298=1,2,-1)</f>
        <v/>
      </c>
      <c r="D298" t="n">
        <v>0.01</v>
      </c>
      <c r="E298">
        <f>B298*C298*D298</f>
        <v/>
      </c>
    </row>
    <row r="299">
      <c r="A299" t="n">
        <v>298</v>
      </c>
      <c r="B299">
        <f>IF(RAND()&lt;0.55,1,-1)</f>
        <v/>
      </c>
      <c r="C299">
        <f>IF(B299=1,2,-1)</f>
        <v/>
      </c>
      <c r="D299" t="n">
        <v>0.01</v>
      </c>
      <c r="E299">
        <f>B299*C299*D299</f>
        <v/>
      </c>
    </row>
    <row r="300">
      <c r="A300" t="n">
        <v>299</v>
      </c>
      <c r="B300">
        <f>IF(RAND()&lt;0.55,1,-1)</f>
        <v/>
      </c>
      <c r="C300">
        <f>IF(B300=1,2,-1)</f>
        <v/>
      </c>
      <c r="D300" t="n">
        <v>0.01</v>
      </c>
      <c r="E300">
        <f>B300*C300*D300</f>
        <v/>
      </c>
    </row>
    <row r="301">
      <c r="A301" t="n">
        <v>300</v>
      </c>
      <c r="B301">
        <f>IF(RAND()&lt;0.55,1,-1)</f>
        <v/>
      </c>
      <c r="C301">
        <f>IF(B301=1,2,-1)</f>
        <v/>
      </c>
      <c r="D301" t="n">
        <v>0.01</v>
      </c>
      <c r="E301">
        <f>B301*C301*D301</f>
        <v/>
      </c>
    </row>
    <row r="302">
      <c r="A302" t="n">
        <v>301</v>
      </c>
      <c r="B302">
        <f>IF(RAND()&lt;0.55,1,-1)</f>
        <v/>
      </c>
      <c r="C302">
        <f>IF(B302=1,2,-1)</f>
        <v/>
      </c>
      <c r="D302" t="n">
        <v>0.01</v>
      </c>
      <c r="E302">
        <f>B302*C302*D302</f>
        <v/>
      </c>
    </row>
    <row r="303">
      <c r="A303" t="n">
        <v>302</v>
      </c>
      <c r="B303">
        <f>IF(RAND()&lt;0.55,1,-1)</f>
        <v/>
      </c>
      <c r="C303">
        <f>IF(B303=1,2,-1)</f>
        <v/>
      </c>
      <c r="D303" t="n">
        <v>0.01</v>
      </c>
      <c r="E303">
        <f>B303*C303*D303</f>
        <v/>
      </c>
    </row>
    <row r="304">
      <c r="A304" t="n">
        <v>303</v>
      </c>
      <c r="B304">
        <f>IF(RAND()&lt;0.55,1,-1)</f>
        <v/>
      </c>
      <c r="C304">
        <f>IF(B304=1,2,-1)</f>
        <v/>
      </c>
      <c r="D304" t="n">
        <v>0.01</v>
      </c>
      <c r="E304">
        <f>B304*C304*D304</f>
        <v/>
      </c>
    </row>
    <row r="305">
      <c r="A305" t="n">
        <v>304</v>
      </c>
      <c r="B305">
        <f>IF(RAND()&lt;0.55,1,-1)</f>
        <v/>
      </c>
      <c r="C305">
        <f>IF(B305=1,2,-1)</f>
        <v/>
      </c>
      <c r="D305" t="n">
        <v>0.01</v>
      </c>
      <c r="E305">
        <f>B305*C305*D305</f>
        <v/>
      </c>
    </row>
    <row r="306">
      <c r="A306" t="n">
        <v>305</v>
      </c>
      <c r="B306">
        <f>IF(RAND()&lt;0.55,1,-1)</f>
        <v/>
      </c>
      <c r="C306">
        <f>IF(B306=1,2,-1)</f>
        <v/>
      </c>
      <c r="D306" t="n">
        <v>0.01</v>
      </c>
      <c r="E306">
        <f>B306*C306*D306</f>
        <v/>
      </c>
    </row>
    <row r="307">
      <c r="A307" t="n">
        <v>306</v>
      </c>
      <c r="B307">
        <f>IF(RAND()&lt;0.55,1,-1)</f>
        <v/>
      </c>
      <c r="C307">
        <f>IF(B307=1,2,-1)</f>
        <v/>
      </c>
      <c r="D307" t="n">
        <v>0.01</v>
      </c>
      <c r="E307">
        <f>B307*C307*D307</f>
        <v/>
      </c>
    </row>
    <row r="308">
      <c r="A308" t="n">
        <v>307</v>
      </c>
      <c r="B308">
        <f>IF(RAND()&lt;0.55,1,-1)</f>
        <v/>
      </c>
      <c r="C308">
        <f>IF(B308=1,2,-1)</f>
        <v/>
      </c>
      <c r="D308" t="n">
        <v>0.01</v>
      </c>
      <c r="E308">
        <f>B308*C308*D308</f>
        <v/>
      </c>
    </row>
    <row r="309">
      <c r="A309" t="n">
        <v>308</v>
      </c>
      <c r="B309">
        <f>IF(RAND()&lt;0.55,1,-1)</f>
        <v/>
      </c>
      <c r="C309">
        <f>IF(B309=1,2,-1)</f>
        <v/>
      </c>
      <c r="D309" t="n">
        <v>0.01</v>
      </c>
      <c r="E309">
        <f>B309*C309*D309</f>
        <v/>
      </c>
    </row>
    <row r="310">
      <c r="A310" t="n">
        <v>309</v>
      </c>
      <c r="B310">
        <f>IF(RAND()&lt;0.55,1,-1)</f>
        <v/>
      </c>
      <c r="C310">
        <f>IF(B310=1,2,-1)</f>
        <v/>
      </c>
      <c r="D310" t="n">
        <v>0.01</v>
      </c>
      <c r="E310">
        <f>B310*C310*D310</f>
        <v/>
      </c>
    </row>
    <row r="311">
      <c r="A311" t="n">
        <v>310</v>
      </c>
      <c r="B311">
        <f>IF(RAND()&lt;0.55,1,-1)</f>
        <v/>
      </c>
      <c r="C311">
        <f>IF(B311=1,2,-1)</f>
        <v/>
      </c>
      <c r="D311" t="n">
        <v>0.01</v>
      </c>
      <c r="E311">
        <f>B311*C311*D311</f>
        <v/>
      </c>
    </row>
    <row r="312">
      <c r="A312" t="n">
        <v>311</v>
      </c>
      <c r="B312">
        <f>IF(RAND()&lt;0.55,1,-1)</f>
        <v/>
      </c>
      <c r="C312">
        <f>IF(B312=1,2,-1)</f>
        <v/>
      </c>
      <c r="D312" t="n">
        <v>0.01</v>
      </c>
      <c r="E312">
        <f>B312*C312*D312</f>
        <v/>
      </c>
    </row>
    <row r="313">
      <c r="A313" t="n">
        <v>312</v>
      </c>
      <c r="B313">
        <f>IF(RAND()&lt;0.55,1,-1)</f>
        <v/>
      </c>
      <c r="C313">
        <f>IF(B313=1,2,-1)</f>
        <v/>
      </c>
      <c r="D313" t="n">
        <v>0.01</v>
      </c>
      <c r="E313">
        <f>B313*C313*D313</f>
        <v/>
      </c>
    </row>
    <row r="314">
      <c r="A314" t="n">
        <v>313</v>
      </c>
      <c r="B314">
        <f>IF(RAND()&lt;0.55,1,-1)</f>
        <v/>
      </c>
      <c r="C314">
        <f>IF(B314=1,2,-1)</f>
        <v/>
      </c>
      <c r="D314" t="n">
        <v>0.01</v>
      </c>
      <c r="E314">
        <f>B314*C314*D314</f>
        <v/>
      </c>
    </row>
    <row r="315">
      <c r="A315" t="n">
        <v>314</v>
      </c>
      <c r="B315">
        <f>IF(RAND()&lt;0.55,1,-1)</f>
        <v/>
      </c>
      <c r="C315">
        <f>IF(B315=1,2,-1)</f>
        <v/>
      </c>
      <c r="D315" t="n">
        <v>0.01</v>
      </c>
      <c r="E315">
        <f>B315*C315*D315</f>
        <v/>
      </c>
    </row>
    <row r="316">
      <c r="A316" t="n">
        <v>315</v>
      </c>
      <c r="B316">
        <f>IF(RAND()&lt;0.55,1,-1)</f>
        <v/>
      </c>
      <c r="C316">
        <f>IF(B316=1,2,-1)</f>
        <v/>
      </c>
      <c r="D316" t="n">
        <v>0.01</v>
      </c>
      <c r="E316">
        <f>B316*C316*D316</f>
        <v/>
      </c>
    </row>
    <row r="317">
      <c r="A317" t="n">
        <v>316</v>
      </c>
      <c r="B317">
        <f>IF(RAND()&lt;0.55,1,-1)</f>
        <v/>
      </c>
      <c r="C317">
        <f>IF(B317=1,2,-1)</f>
        <v/>
      </c>
      <c r="D317" t="n">
        <v>0.01</v>
      </c>
      <c r="E317">
        <f>B317*C317*D317</f>
        <v/>
      </c>
    </row>
    <row r="318">
      <c r="A318" t="n">
        <v>317</v>
      </c>
      <c r="B318">
        <f>IF(RAND()&lt;0.55,1,-1)</f>
        <v/>
      </c>
      <c r="C318">
        <f>IF(B318=1,2,-1)</f>
        <v/>
      </c>
      <c r="D318" t="n">
        <v>0.01</v>
      </c>
      <c r="E318">
        <f>B318*C318*D318</f>
        <v/>
      </c>
    </row>
    <row r="319">
      <c r="A319" t="n">
        <v>318</v>
      </c>
      <c r="B319">
        <f>IF(RAND()&lt;0.55,1,-1)</f>
        <v/>
      </c>
      <c r="C319">
        <f>IF(B319=1,2,-1)</f>
        <v/>
      </c>
      <c r="D319" t="n">
        <v>0.01</v>
      </c>
      <c r="E319">
        <f>B319*C319*D319</f>
        <v/>
      </c>
    </row>
    <row r="320">
      <c r="A320" t="n">
        <v>319</v>
      </c>
      <c r="B320">
        <f>IF(RAND()&lt;0.55,1,-1)</f>
        <v/>
      </c>
      <c r="C320">
        <f>IF(B320=1,2,-1)</f>
        <v/>
      </c>
      <c r="D320" t="n">
        <v>0.01</v>
      </c>
      <c r="E320">
        <f>B320*C320*D320</f>
        <v/>
      </c>
    </row>
    <row r="321">
      <c r="A321" t="n">
        <v>320</v>
      </c>
      <c r="B321">
        <f>IF(RAND()&lt;0.55,1,-1)</f>
        <v/>
      </c>
      <c r="C321">
        <f>IF(B321=1,2,-1)</f>
        <v/>
      </c>
      <c r="D321" t="n">
        <v>0.01</v>
      </c>
      <c r="E321">
        <f>B321*C321*D321</f>
        <v/>
      </c>
    </row>
    <row r="322">
      <c r="A322" t="n">
        <v>321</v>
      </c>
      <c r="B322">
        <f>IF(RAND()&lt;0.55,1,-1)</f>
        <v/>
      </c>
      <c r="C322">
        <f>IF(B322=1,2,-1)</f>
        <v/>
      </c>
      <c r="D322" t="n">
        <v>0.01</v>
      </c>
      <c r="E322">
        <f>B322*C322*D322</f>
        <v/>
      </c>
    </row>
    <row r="323">
      <c r="A323" t="n">
        <v>322</v>
      </c>
      <c r="B323">
        <f>IF(RAND()&lt;0.55,1,-1)</f>
        <v/>
      </c>
      <c r="C323">
        <f>IF(B323=1,2,-1)</f>
        <v/>
      </c>
      <c r="D323" t="n">
        <v>0.01</v>
      </c>
      <c r="E323">
        <f>B323*C323*D323</f>
        <v/>
      </c>
    </row>
    <row r="324">
      <c r="A324" t="n">
        <v>323</v>
      </c>
      <c r="B324">
        <f>IF(RAND()&lt;0.55,1,-1)</f>
        <v/>
      </c>
      <c r="C324">
        <f>IF(B324=1,2,-1)</f>
        <v/>
      </c>
      <c r="D324" t="n">
        <v>0.01</v>
      </c>
      <c r="E324">
        <f>B324*C324*D324</f>
        <v/>
      </c>
    </row>
    <row r="325">
      <c r="A325" t="n">
        <v>324</v>
      </c>
      <c r="B325">
        <f>IF(RAND()&lt;0.55,1,-1)</f>
        <v/>
      </c>
      <c r="C325">
        <f>IF(B325=1,2,-1)</f>
        <v/>
      </c>
      <c r="D325" t="n">
        <v>0.01</v>
      </c>
      <c r="E325">
        <f>B325*C325*D325</f>
        <v/>
      </c>
    </row>
    <row r="326">
      <c r="A326" t="n">
        <v>325</v>
      </c>
      <c r="B326">
        <f>IF(RAND()&lt;0.55,1,-1)</f>
        <v/>
      </c>
      <c r="C326">
        <f>IF(B326=1,2,-1)</f>
        <v/>
      </c>
      <c r="D326" t="n">
        <v>0.01</v>
      </c>
      <c r="E326">
        <f>B326*C326*D326</f>
        <v/>
      </c>
    </row>
    <row r="327">
      <c r="A327" t="n">
        <v>326</v>
      </c>
      <c r="B327">
        <f>IF(RAND()&lt;0.55,1,-1)</f>
        <v/>
      </c>
      <c r="C327">
        <f>IF(B327=1,2,-1)</f>
        <v/>
      </c>
      <c r="D327" t="n">
        <v>0.01</v>
      </c>
      <c r="E327">
        <f>B327*C327*D327</f>
        <v/>
      </c>
    </row>
    <row r="328">
      <c r="A328" t="n">
        <v>327</v>
      </c>
      <c r="B328">
        <f>IF(RAND()&lt;0.55,1,-1)</f>
        <v/>
      </c>
      <c r="C328">
        <f>IF(B328=1,2,-1)</f>
        <v/>
      </c>
      <c r="D328" t="n">
        <v>0.01</v>
      </c>
      <c r="E328">
        <f>B328*C328*D328</f>
        <v/>
      </c>
    </row>
    <row r="329">
      <c r="A329" t="n">
        <v>328</v>
      </c>
      <c r="B329">
        <f>IF(RAND()&lt;0.55,1,-1)</f>
        <v/>
      </c>
      <c r="C329">
        <f>IF(B329=1,2,-1)</f>
        <v/>
      </c>
      <c r="D329" t="n">
        <v>0.01</v>
      </c>
      <c r="E329">
        <f>B329*C329*D329</f>
        <v/>
      </c>
    </row>
    <row r="330">
      <c r="A330" t="n">
        <v>329</v>
      </c>
      <c r="B330">
        <f>IF(RAND()&lt;0.55,1,-1)</f>
        <v/>
      </c>
      <c r="C330">
        <f>IF(B330=1,2,-1)</f>
        <v/>
      </c>
      <c r="D330" t="n">
        <v>0.01</v>
      </c>
      <c r="E330">
        <f>B330*C330*D330</f>
        <v/>
      </c>
    </row>
    <row r="331">
      <c r="A331" t="n">
        <v>330</v>
      </c>
      <c r="B331">
        <f>IF(RAND()&lt;0.55,1,-1)</f>
        <v/>
      </c>
      <c r="C331">
        <f>IF(B331=1,2,-1)</f>
        <v/>
      </c>
      <c r="D331" t="n">
        <v>0.01</v>
      </c>
      <c r="E331">
        <f>B331*C331*D331</f>
        <v/>
      </c>
    </row>
    <row r="332">
      <c r="A332" t="n">
        <v>331</v>
      </c>
      <c r="B332">
        <f>IF(RAND()&lt;0.55,1,-1)</f>
        <v/>
      </c>
      <c r="C332">
        <f>IF(B332=1,2,-1)</f>
        <v/>
      </c>
      <c r="D332" t="n">
        <v>0.01</v>
      </c>
      <c r="E332">
        <f>B332*C332*D332</f>
        <v/>
      </c>
    </row>
    <row r="333">
      <c r="A333" t="n">
        <v>332</v>
      </c>
      <c r="B333">
        <f>IF(RAND()&lt;0.55,1,-1)</f>
        <v/>
      </c>
      <c r="C333">
        <f>IF(B333=1,2,-1)</f>
        <v/>
      </c>
      <c r="D333" t="n">
        <v>0.01</v>
      </c>
      <c r="E333">
        <f>B333*C333*D333</f>
        <v/>
      </c>
    </row>
    <row r="334">
      <c r="A334" t="n">
        <v>333</v>
      </c>
      <c r="B334">
        <f>IF(RAND()&lt;0.55,1,-1)</f>
        <v/>
      </c>
      <c r="C334">
        <f>IF(B334=1,2,-1)</f>
        <v/>
      </c>
      <c r="D334" t="n">
        <v>0.01</v>
      </c>
      <c r="E334">
        <f>B334*C334*D334</f>
        <v/>
      </c>
    </row>
    <row r="335">
      <c r="A335" t="n">
        <v>334</v>
      </c>
      <c r="B335">
        <f>IF(RAND()&lt;0.55,1,-1)</f>
        <v/>
      </c>
      <c r="C335">
        <f>IF(B335=1,2,-1)</f>
        <v/>
      </c>
      <c r="D335" t="n">
        <v>0.01</v>
      </c>
      <c r="E335">
        <f>B335*C335*D335</f>
        <v/>
      </c>
    </row>
    <row r="336">
      <c r="A336" t="n">
        <v>335</v>
      </c>
      <c r="B336">
        <f>IF(RAND()&lt;0.55,1,-1)</f>
        <v/>
      </c>
      <c r="C336">
        <f>IF(B336=1,2,-1)</f>
        <v/>
      </c>
      <c r="D336" t="n">
        <v>0.01</v>
      </c>
      <c r="E336">
        <f>B336*C336*D336</f>
        <v/>
      </c>
    </row>
    <row r="337">
      <c r="A337" t="n">
        <v>336</v>
      </c>
      <c r="B337">
        <f>IF(RAND()&lt;0.55,1,-1)</f>
        <v/>
      </c>
      <c r="C337">
        <f>IF(B337=1,2,-1)</f>
        <v/>
      </c>
      <c r="D337" t="n">
        <v>0.01</v>
      </c>
      <c r="E337">
        <f>B337*C337*D337</f>
        <v/>
      </c>
    </row>
    <row r="338">
      <c r="A338" t="n">
        <v>337</v>
      </c>
      <c r="B338">
        <f>IF(RAND()&lt;0.55,1,-1)</f>
        <v/>
      </c>
      <c r="C338">
        <f>IF(B338=1,2,-1)</f>
        <v/>
      </c>
      <c r="D338" t="n">
        <v>0.01</v>
      </c>
      <c r="E338">
        <f>B338*C338*D338</f>
        <v/>
      </c>
    </row>
    <row r="339">
      <c r="A339" t="n">
        <v>338</v>
      </c>
      <c r="B339">
        <f>IF(RAND()&lt;0.55,1,-1)</f>
        <v/>
      </c>
      <c r="C339">
        <f>IF(B339=1,2,-1)</f>
        <v/>
      </c>
      <c r="D339" t="n">
        <v>0.01</v>
      </c>
      <c r="E339">
        <f>B339*C339*D339</f>
        <v/>
      </c>
    </row>
    <row r="340">
      <c r="A340" t="n">
        <v>339</v>
      </c>
      <c r="B340">
        <f>IF(RAND()&lt;0.55,1,-1)</f>
        <v/>
      </c>
      <c r="C340">
        <f>IF(B340=1,2,-1)</f>
        <v/>
      </c>
      <c r="D340" t="n">
        <v>0.01</v>
      </c>
      <c r="E340">
        <f>B340*C340*D340</f>
        <v/>
      </c>
    </row>
    <row r="341">
      <c r="A341" t="n">
        <v>340</v>
      </c>
      <c r="B341">
        <f>IF(RAND()&lt;0.55,1,-1)</f>
        <v/>
      </c>
      <c r="C341">
        <f>IF(B341=1,2,-1)</f>
        <v/>
      </c>
      <c r="D341" t="n">
        <v>0.01</v>
      </c>
      <c r="E341">
        <f>B341*C341*D341</f>
        <v/>
      </c>
    </row>
    <row r="342">
      <c r="A342" t="n">
        <v>341</v>
      </c>
      <c r="B342">
        <f>IF(RAND()&lt;0.55,1,-1)</f>
        <v/>
      </c>
      <c r="C342">
        <f>IF(B342=1,2,-1)</f>
        <v/>
      </c>
      <c r="D342" t="n">
        <v>0.01</v>
      </c>
      <c r="E342">
        <f>B342*C342*D342</f>
        <v/>
      </c>
    </row>
    <row r="343">
      <c r="A343" t="n">
        <v>342</v>
      </c>
      <c r="B343">
        <f>IF(RAND()&lt;0.55,1,-1)</f>
        <v/>
      </c>
      <c r="C343">
        <f>IF(B343=1,2,-1)</f>
        <v/>
      </c>
      <c r="D343" t="n">
        <v>0.01</v>
      </c>
      <c r="E343">
        <f>B343*C343*D343</f>
        <v/>
      </c>
    </row>
    <row r="344">
      <c r="A344" t="n">
        <v>343</v>
      </c>
      <c r="B344">
        <f>IF(RAND()&lt;0.55,1,-1)</f>
        <v/>
      </c>
      <c r="C344">
        <f>IF(B344=1,2,-1)</f>
        <v/>
      </c>
      <c r="D344" t="n">
        <v>0.01</v>
      </c>
      <c r="E344">
        <f>B344*C344*D344</f>
        <v/>
      </c>
    </row>
    <row r="345">
      <c r="A345" t="n">
        <v>344</v>
      </c>
      <c r="B345">
        <f>IF(RAND()&lt;0.55,1,-1)</f>
        <v/>
      </c>
      <c r="C345">
        <f>IF(B345=1,2,-1)</f>
        <v/>
      </c>
      <c r="D345" t="n">
        <v>0.01</v>
      </c>
      <c r="E345">
        <f>B345*C345*D345</f>
        <v/>
      </c>
    </row>
    <row r="346">
      <c r="A346" t="n">
        <v>345</v>
      </c>
      <c r="B346">
        <f>IF(RAND()&lt;0.55,1,-1)</f>
        <v/>
      </c>
      <c r="C346">
        <f>IF(B346=1,2,-1)</f>
        <v/>
      </c>
      <c r="D346" t="n">
        <v>0.01</v>
      </c>
      <c r="E346">
        <f>B346*C346*D346</f>
        <v/>
      </c>
    </row>
    <row r="347">
      <c r="A347" t="n">
        <v>346</v>
      </c>
      <c r="B347">
        <f>IF(RAND()&lt;0.55,1,-1)</f>
        <v/>
      </c>
      <c r="C347">
        <f>IF(B347=1,2,-1)</f>
        <v/>
      </c>
      <c r="D347" t="n">
        <v>0.01</v>
      </c>
      <c r="E347">
        <f>B347*C347*D347</f>
        <v/>
      </c>
    </row>
    <row r="348">
      <c r="A348" t="n">
        <v>347</v>
      </c>
      <c r="B348">
        <f>IF(RAND()&lt;0.55,1,-1)</f>
        <v/>
      </c>
      <c r="C348">
        <f>IF(B348=1,2,-1)</f>
        <v/>
      </c>
      <c r="D348" t="n">
        <v>0.01</v>
      </c>
      <c r="E348">
        <f>B348*C348*D348</f>
        <v/>
      </c>
    </row>
    <row r="349">
      <c r="A349" t="n">
        <v>348</v>
      </c>
      <c r="B349">
        <f>IF(RAND()&lt;0.55,1,-1)</f>
        <v/>
      </c>
      <c r="C349">
        <f>IF(B349=1,2,-1)</f>
        <v/>
      </c>
      <c r="D349" t="n">
        <v>0.01</v>
      </c>
      <c r="E349">
        <f>B349*C349*D349</f>
        <v/>
      </c>
    </row>
    <row r="350">
      <c r="A350" t="n">
        <v>349</v>
      </c>
      <c r="B350">
        <f>IF(RAND()&lt;0.55,1,-1)</f>
        <v/>
      </c>
      <c r="C350">
        <f>IF(B350=1,2,-1)</f>
        <v/>
      </c>
      <c r="D350" t="n">
        <v>0.01</v>
      </c>
      <c r="E350">
        <f>B350*C350*D350</f>
        <v/>
      </c>
    </row>
    <row r="351">
      <c r="A351" t="n">
        <v>350</v>
      </c>
      <c r="B351">
        <f>IF(RAND()&lt;0.55,1,-1)</f>
        <v/>
      </c>
      <c r="C351">
        <f>IF(B351=1,2,-1)</f>
        <v/>
      </c>
      <c r="D351" t="n">
        <v>0.01</v>
      </c>
      <c r="E351">
        <f>B351*C351*D351</f>
        <v/>
      </c>
    </row>
    <row r="352">
      <c r="A352" t="n">
        <v>351</v>
      </c>
      <c r="B352">
        <f>IF(RAND()&lt;0.55,1,-1)</f>
        <v/>
      </c>
      <c r="C352">
        <f>IF(B352=1,2,-1)</f>
        <v/>
      </c>
      <c r="D352" t="n">
        <v>0.01</v>
      </c>
      <c r="E352">
        <f>B352*C352*D352</f>
        <v/>
      </c>
    </row>
    <row r="353">
      <c r="A353" t="n">
        <v>352</v>
      </c>
      <c r="B353">
        <f>IF(RAND()&lt;0.55,1,-1)</f>
        <v/>
      </c>
      <c r="C353">
        <f>IF(B353=1,2,-1)</f>
        <v/>
      </c>
      <c r="D353" t="n">
        <v>0.01</v>
      </c>
      <c r="E353">
        <f>B353*C353*D353</f>
        <v/>
      </c>
    </row>
    <row r="354">
      <c r="A354" t="n">
        <v>353</v>
      </c>
      <c r="B354">
        <f>IF(RAND()&lt;0.55,1,-1)</f>
        <v/>
      </c>
      <c r="C354">
        <f>IF(B354=1,2,-1)</f>
        <v/>
      </c>
      <c r="D354" t="n">
        <v>0.01</v>
      </c>
      <c r="E354">
        <f>B354*C354*D354</f>
        <v/>
      </c>
    </row>
    <row r="355">
      <c r="A355" t="n">
        <v>354</v>
      </c>
      <c r="B355">
        <f>IF(RAND()&lt;0.55,1,-1)</f>
        <v/>
      </c>
      <c r="C355">
        <f>IF(B355=1,2,-1)</f>
        <v/>
      </c>
      <c r="D355" t="n">
        <v>0.01</v>
      </c>
      <c r="E355">
        <f>B355*C355*D355</f>
        <v/>
      </c>
    </row>
    <row r="356">
      <c r="A356" t="n">
        <v>355</v>
      </c>
      <c r="B356">
        <f>IF(RAND()&lt;0.55,1,-1)</f>
        <v/>
      </c>
      <c r="C356">
        <f>IF(B356=1,2,-1)</f>
        <v/>
      </c>
      <c r="D356" t="n">
        <v>0.01</v>
      </c>
      <c r="E356">
        <f>B356*C356*D356</f>
        <v/>
      </c>
    </row>
    <row r="357">
      <c r="A357" t="n">
        <v>356</v>
      </c>
      <c r="B357">
        <f>IF(RAND()&lt;0.55,1,-1)</f>
        <v/>
      </c>
      <c r="C357">
        <f>IF(B357=1,2,-1)</f>
        <v/>
      </c>
      <c r="D357" t="n">
        <v>0.01</v>
      </c>
      <c r="E357">
        <f>B357*C357*D357</f>
        <v/>
      </c>
    </row>
    <row r="358">
      <c r="A358" t="n">
        <v>357</v>
      </c>
      <c r="B358">
        <f>IF(RAND()&lt;0.55,1,-1)</f>
        <v/>
      </c>
      <c r="C358">
        <f>IF(B358=1,2,-1)</f>
        <v/>
      </c>
      <c r="D358" t="n">
        <v>0.01</v>
      </c>
      <c r="E358">
        <f>B358*C358*D358</f>
        <v/>
      </c>
    </row>
    <row r="359">
      <c r="A359" t="n">
        <v>358</v>
      </c>
      <c r="B359">
        <f>IF(RAND()&lt;0.55,1,-1)</f>
        <v/>
      </c>
      <c r="C359">
        <f>IF(B359=1,2,-1)</f>
        <v/>
      </c>
      <c r="D359" t="n">
        <v>0.01</v>
      </c>
      <c r="E359">
        <f>B359*C359*D359</f>
        <v/>
      </c>
    </row>
    <row r="360">
      <c r="A360" t="n">
        <v>359</v>
      </c>
      <c r="B360">
        <f>IF(RAND()&lt;0.55,1,-1)</f>
        <v/>
      </c>
      <c r="C360">
        <f>IF(B360=1,2,-1)</f>
        <v/>
      </c>
      <c r="D360" t="n">
        <v>0.01</v>
      </c>
      <c r="E360">
        <f>B360*C360*D360</f>
        <v/>
      </c>
    </row>
    <row r="361">
      <c r="A361" t="n">
        <v>360</v>
      </c>
      <c r="B361">
        <f>IF(RAND()&lt;0.55,1,-1)</f>
        <v/>
      </c>
      <c r="C361">
        <f>IF(B361=1,2,-1)</f>
        <v/>
      </c>
      <c r="D361" t="n">
        <v>0.01</v>
      </c>
      <c r="E361">
        <f>B361*C361*D361</f>
        <v/>
      </c>
    </row>
    <row r="362">
      <c r="A362" t="n">
        <v>361</v>
      </c>
      <c r="B362">
        <f>IF(RAND()&lt;0.55,1,-1)</f>
        <v/>
      </c>
      <c r="C362">
        <f>IF(B362=1,2,-1)</f>
        <v/>
      </c>
      <c r="D362" t="n">
        <v>0.01</v>
      </c>
      <c r="E362">
        <f>B362*C362*D362</f>
        <v/>
      </c>
    </row>
    <row r="363">
      <c r="A363" t="n">
        <v>362</v>
      </c>
      <c r="B363">
        <f>IF(RAND()&lt;0.55,1,-1)</f>
        <v/>
      </c>
      <c r="C363">
        <f>IF(B363=1,2,-1)</f>
        <v/>
      </c>
      <c r="D363" t="n">
        <v>0.01</v>
      </c>
      <c r="E363">
        <f>B363*C363*D363</f>
        <v/>
      </c>
    </row>
    <row r="364">
      <c r="A364" t="n">
        <v>363</v>
      </c>
      <c r="B364">
        <f>IF(RAND()&lt;0.55,1,-1)</f>
        <v/>
      </c>
      <c r="C364">
        <f>IF(B364=1,2,-1)</f>
        <v/>
      </c>
      <c r="D364" t="n">
        <v>0.01</v>
      </c>
      <c r="E364">
        <f>B364*C364*D364</f>
        <v/>
      </c>
    </row>
    <row r="365">
      <c r="A365" t="n">
        <v>364</v>
      </c>
      <c r="B365">
        <f>IF(RAND()&lt;0.55,1,-1)</f>
        <v/>
      </c>
      <c r="C365">
        <f>IF(B365=1,2,-1)</f>
        <v/>
      </c>
      <c r="D365" t="n">
        <v>0.01</v>
      </c>
      <c r="E365">
        <f>B365*C365*D365</f>
        <v/>
      </c>
    </row>
    <row r="366">
      <c r="A366" t="n">
        <v>365</v>
      </c>
      <c r="B366">
        <f>IF(RAND()&lt;0.55,1,-1)</f>
        <v/>
      </c>
      <c r="C366">
        <f>IF(B366=1,2,-1)</f>
        <v/>
      </c>
      <c r="D366" t="n">
        <v>0.01</v>
      </c>
      <c r="E366">
        <f>B366*C366*D366</f>
        <v/>
      </c>
    </row>
    <row r="367">
      <c r="A367" t="n">
        <v>366</v>
      </c>
      <c r="B367">
        <f>IF(RAND()&lt;0.55,1,-1)</f>
        <v/>
      </c>
      <c r="C367">
        <f>IF(B367=1,2,-1)</f>
        <v/>
      </c>
      <c r="D367" t="n">
        <v>0.01</v>
      </c>
      <c r="E367">
        <f>B367*C367*D367</f>
        <v/>
      </c>
    </row>
    <row r="368">
      <c r="A368" t="n">
        <v>367</v>
      </c>
      <c r="B368">
        <f>IF(RAND()&lt;0.55,1,-1)</f>
        <v/>
      </c>
      <c r="C368">
        <f>IF(B368=1,2,-1)</f>
        <v/>
      </c>
      <c r="D368" t="n">
        <v>0.01</v>
      </c>
      <c r="E368">
        <f>B368*C368*D368</f>
        <v/>
      </c>
    </row>
    <row r="369">
      <c r="A369" t="n">
        <v>368</v>
      </c>
      <c r="B369">
        <f>IF(RAND()&lt;0.55,1,-1)</f>
        <v/>
      </c>
      <c r="C369">
        <f>IF(B369=1,2,-1)</f>
        <v/>
      </c>
      <c r="D369" t="n">
        <v>0.01</v>
      </c>
      <c r="E369">
        <f>B369*C369*D369</f>
        <v/>
      </c>
    </row>
    <row r="370">
      <c r="A370" t="n">
        <v>369</v>
      </c>
      <c r="B370">
        <f>IF(RAND()&lt;0.55,1,-1)</f>
        <v/>
      </c>
      <c r="C370">
        <f>IF(B370=1,2,-1)</f>
        <v/>
      </c>
      <c r="D370" t="n">
        <v>0.01</v>
      </c>
      <c r="E370">
        <f>B370*C370*D370</f>
        <v/>
      </c>
    </row>
    <row r="371">
      <c r="A371" t="n">
        <v>370</v>
      </c>
      <c r="B371">
        <f>IF(RAND()&lt;0.55,1,-1)</f>
        <v/>
      </c>
      <c r="C371">
        <f>IF(B371=1,2,-1)</f>
        <v/>
      </c>
      <c r="D371" t="n">
        <v>0.01</v>
      </c>
      <c r="E371">
        <f>B371*C371*D371</f>
        <v/>
      </c>
    </row>
    <row r="372">
      <c r="A372" t="n">
        <v>371</v>
      </c>
      <c r="B372">
        <f>IF(RAND()&lt;0.55,1,-1)</f>
        <v/>
      </c>
      <c r="C372">
        <f>IF(B372=1,2,-1)</f>
        <v/>
      </c>
      <c r="D372" t="n">
        <v>0.01</v>
      </c>
      <c r="E372">
        <f>B372*C372*D372</f>
        <v/>
      </c>
    </row>
    <row r="373">
      <c r="A373" t="n">
        <v>372</v>
      </c>
      <c r="B373">
        <f>IF(RAND()&lt;0.55,1,-1)</f>
        <v/>
      </c>
      <c r="C373">
        <f>IF(B373=1,2,-1)</f>
        <v/>
      </c>
      <c r="D373" t="n">
        <v>0.01</v>
      </c>
      <c r="E373">
        <f>B373*C373*D373</f>
        <v/>
      </c>
    </row>
    <row r="374">
      <c r="A374" t="n">
        <v>373</v>
      </c>
      <c r="B374">
        <f>IF(RAND()&lt;0.55,1,-1)</f>
        <v/>
      </c>
      <c r="C374">
        <f>IF(B374=1,2,-1)</f>
        <v/>
      </c>
      <c r="D374" t="n">
        <v>0.01</v>
      </c>
      <c r="E374">
        <f>B374*C374*D374</f>
        <v/>
      </c>
    </row>
    <row r="375">
      <c r="A375" t="n">
        <v>374</v>
      </c>
      <c r="B375">
        <f>IF(RAND()&lt;0.55,1,-1)</f>
        <v/>
      </c>
      <c r="C375">
        <f>IF(B375=1,2,-1)</f>
        <v/>
      </c>
      <c r="D375" t="n">
        <v>0.01</v>
      </c>
      <c r="E375">
        <f>B375*C375*D375</f>
        <v/>
      </c>
    </row>
    <row r="376">
      <c r="A376" t="n">
        <v>375</v>
      </c>
      <c r="B376">
        <f>IF(RAND()&lt;0.55,1,-1)</f>
        <v/>
      </c>
      <c r="C376">
        <f>IF(B376=1,2,-1)</f>
        <v/>
      </c>
      <c r="D376" t="n">
        <v>0.01</v>
      </c>
      <c r="E376">
        <f>B376*C376*D376</f>
        <v/>
      </c>
    </row>
    <row r="377">
      <c r="A377" t="n">
        <v>376</v>
      </c>
      <c r="B377">
        <f>IF(RAND()&lt;0.55,1,-1)</f>
        <v/>
      </c>
      <c r="C377">
        <f>IF(B377=1,2,-1)</f>
        <v/>
      </c>
      <c r="D377" t="n">
        <v>0.01</v>
      </c>
      <c r="E377">
        <f>B377*C377*D377</f>
        <v/>
      </c>
    </row>
    <row r="378">
      <c r="A378" t="n">
        <v>377</v>
      </c>
      <c r="B378">
        <f>IF(RAND()&lt;0.55,1,-1)</f>
        <v/>
      </c>
      <c r="C378">
        <f>IF(B378=1,2,-1)</f>
        <v/>
      </c>
      <c r="D378" t="n">
        <v>0.01</v>
      </c>
      <c r="E378">
        <f>B378*C378*D378</f>
        <v/>
      </c>
    </row>
    <row r="379">
      <c r="A379" t="n">
        <v>378</v>
      </c>
      <c r="B379">
        <f>IF(RAND()&lt;0.55,1,-1)</f>
        <v/>
      </c>
      <c r="C379">
        <f>IF(B379=1,2,-1)</f>
        <v/>
      </c>
      <c r="D379" t="n">
        <v>0.01</v>
      </c>
      <c r="E379">
        <f>B379*C379*D379</f>
        <v/>
      </c>
    </row>
    <row r="380">
      <c r="A380" t="n">
        <v>379</v>
      </c>
      <c r="B380">
        <f>IF(RAND()&lt;0.55,1,-1)</f>
        <v/>
      </c>
      <c r="C380">
        <f>IF(B380=1,2,-1)</f>
        <v/>
      </c>
      <c r="D380" t="n">
        <v>0.01</v>
      </c>
      <c r="E380">
        <f>B380*C380*D380</f>
        <v/>
      </c>
    </row>
    <row r="381">
      <c r="A381" t="n">
        <v>380</v>
      </c>
      <c r="B381">
        <f>IF(RAND()&lt;0.55,1,-1)</f>
        <v/>
      </c>
      <c r="C381">
        <f>IF(B381=1,2,-1)</f>
        <v/>
      </c>
      <c r="D381" t="n">
        <v>0.01</v>
      </c>
      <c r="E381">
        <f>B381*C381*D381</f>
        <v/>
      </c>
    </row>
    <row r="382">
      <c r="A382" t="n">
        <v>381</v>
      </c>
      <c r="B382">
        <f>IF(RAND()&lt;0.55,1,-1)</f>
        <v/>
      </c>
      <c r="C382">
        <f>IF(B382=1,2,-1)</f>
        <v/>
      </c>
      <c r="D382" t="n">
        <v>0.01</v>
      </c>
      <c r="E382">
        <f>B382*C382*D382</f>
        <v/>
      </c>
    </row>
    <row r="383">
      <c r="A383" t="n">
        <v>382</v>
      </c>
      <c r="B383">
        <f>IF(RAND()&lt;0.55,1,-1)</f>
        <v/>
      </c>
      <c r="C383">
        <f>IF(B383=1,2,-1)</f>
        <v/>
      </c>
      <c r="D383" t="n">
        <v>0.01</v>
      </c>
      <c r="E383">
        <f>B383*C383*D383</f>
        <v/>
      </c>
    </row>
    <row r="384">
      <c r="A384" t="n">
        <v>383</v>
      </c>
      <c r="B384">
        <f>IF(RAND()&lt;0.55,1,-1)</f>
        <v/>
      </c>
      <c r="C384">
        <f>IF(B384=1,2,-1)</f>
        <v/>
      </c>
      <c r="D384" t="n">
        <v>0.01</v>
      </c>
      <c r="E384">
        <f>B384*C384*D384</f>
        <v/>
      </c>
    </row>
    <row r="385">
      <c r="A385" t="n">
        <v>384</v>
      </c>
      <c r="B385">
        <f>IF(RAND()&lt;0.55,1,-1)</f>
        <v/>
      </c>
      <c r="C385">
        <f>IF(B385=1,2,-1)</f>
        <v/>
      </c>
      <c r="D385" t="n">
        <v>0.01</v>
      </c>
      <c r="E385">
        <f>B385*C385*D385</f>
        <v/>
      </c>
    </row>
    <row r="386">
      <c r="A386" t="n">
        <v>385</v>
      </c>
      <c r="B386">
        <f>IF(RAND()&lt;0.55,1,-1)</f>
        <v/>
      </c>
      <c r="C386">
        <f>IF(B386=1,2,-1)</f>
        <v/>
      </c>
      <c r="D386" t="n">
        <v>0.01</v>
      </c>
      <c r="E386">
        <f>B386*C386*D386</f>
        <v/>
      </c>
    </row>
    <row r="387">
      <c r="A387" t="n">
        <v>386</v>
      </c>
      <c r="B387">
        <f>IF(RAND()&lt;0.55,1,-1)</f>
        <v/>
      </c>
      <c r="C387">
        <f>IF(B387=1,2,-1)</f>
        <v/>
      </c>
      <c r="D387" t="n">
        <v>0.01</v>
      </c>
      <c r="E387">
        <f>B387*C387*D387</f>
        <v/>
      </c>
    </row>
    <row r="388">
      <c r="A388" t="n">
        <v>387</v>
      </c>
      <c r="B388">
        <f>IF(RAND()&lt;0.55,1,-1)</f>
        <v/>
      </c>
      <c r="C388">
        <f>IF(B388=1,2,-1)</f>
        <v/>
      </c>
      <c r="D388" t="n">
        <v>0.01</v>
      </c>
      <c r="E388">
        <f>B388*C388*D388</f>
        <v/>
      </c>
    </row>
    <row r="389">
      <c r="A389" t="n">
        <v>388</v>
      </c>
      <c r="B389">
        <f>IF(RAND()&lt;0.55,1,-1)</f>
        <v/>
      </c>
      <c r="C389">
        <f>IF(B389=1,2,-1)</f>
        <v/>
      </c>
      <c r="D389" t="n">
        <v>0.01</v>
      </c>
      <c r="E389">
        <f>B389*C389*D389</f>
        <v/>
      </c>
    </row>
    <row r="390">
      <c r="A390" t="n">
        <v>389</v>
      </c>
      <c r="B390">
        <f>IF(RAND()&lt;0.55,1,-1)</f>
        <v/>
      </c>
      <c r="C390">
        <f>IF(B390=1,2,-1)</f>
        <v/>
      </c>
      <c r="D390" t="n">
        <v>0.01</v>
      </c>
      <c r="E390">
        <f>B390*C390*D390</f>
        <v/>
      </c>
    </row>
    <row r="391">
      <c r="A391" t="n">
        <v>390</v>
      </c>
      <c r="B391">
        <f>IF(RAND()&lt;0.55,1,-1)</f>
        <v/>
      </c>
      <c r="C391">
        <f>IF(B391=1,2,-1)</f>
        <v/>
      </c>
      <c r="D391" t="n">
        <v>0.01</v>
      </c>
      <c r="E391">
        <f>B391*C391*D391</f>
        <v/>
      </c>
    </row>
    <row r="392">
      <c r="A392" t="n">
        <v>391</v>
      </c>
      <c r="B392">
        <f>IF(RAND()&lt;0.55,1,-1)</f>
        <v/>
      </c>
      <c r="C392">
        <f>IF(B392=1,2,-1)</f>
        <v/>
      </c>
      <c r="D392" t="n">
        <v>0.01</v>
      </c>
      <c r="E392">
        <f>B392*C392*D392</f>
        <v/>
      </c>
    </row>
    <row r="393">
      <c r="A393" t="n">
        <v>392</v>
      </c>
      <c r="B393">
        <f>IF(RAND()&lt;0.55,1,-1)</f>
        <v/>
      </c>
      <c r="C393">
        <f>IF(B393=1,2,-1)</f>
        <v/>
      </c>
      <c r="D393" t="n">
        <v>0.01</v>
      </c>
      <c r="E393">
        <f>B393*C393*D393</f>
        <v/>
      </c>
    </row>
    <row r="394">
      <c r="A394" t="n">
        <v>393</v>
      </c>
      <c r="B394">
        <f>IF(RAND()&lt;0.55,1,-1)</f>
        <v/>
      </c>
      <c r="C394">
        <f>IF(B394=1,2,-1)</f>
        <v/>
      </c>
      <c r="D394" t="n">
        <v>0.01</v>
      </c>
      <c r="E394">
        <f>B394*C394*D394</f>
        <v/>
      </c>
    </row>
    <row r="395">
      <c r="A395" t="n">
        <v>394</v>
      </c>
      <c r="B395">
        <f>IF(RAND()&lt;0.55,1,-1)</f>
        <v/>
      </c>
      <c r="C395">
        <f>IF(B395=1,2,-1)</f>
        <v/>
      </c>
      <c r="D395" t="n">
        <v>0.01</v>
      </c>
      <c r="E395">
        <f>B395*C395*D395</f>
        <v/>
      </c>
    </row>
    <row r="396">
      <c r="A396" t="n">
        <v>395</v>
      </c>
      <c r="B396">
        <f>IF(RAND()&lt;0.55,1,-1)</f>
        <v/>
      </c>
      <c r="C396">
        <f>IF(B396=1,2,-1)</f>
        <v/>
      </c>
      <c r="D396" t="n">
        <v>0.01</v>
      </c>
      <c r="E396">
        <f>B396*C396*D396</f>
        <v/>
      </c>
    </row>
    <row r="397">
      <c r="A397" t="n">
        <v>396</v>
      </c>
      <c r="B397">
        <f>IF(RAND()&lt;0.55,1,-1)</f>
        <v/>
      </c>
      <c r="C397">
        <f>IF(B397=1,2,-1)</f>
        <v/>
      </c>
      <c r="D397" t="n">
        <v>0.01</v>
      </c>
      <c r="E397">
        <f>B397*C397*D397</f>
        <v/>
      </c>
    </row>
    <row r="398">
      <c r="A398" t="n">
        <v>397</v>
      </c>
      <c r="B398">
        <f>IF(RAND()&lt;0.55,1,-1)</f>
        <v/>
      </c>
      <c r="C398">
        <f>IF(B398=1,2,-1)</f>
        <v/>
      </c>
      <c r="D398" t="n">
        <v>0.01</v>
      </c>
      <c r="E398">
        <f>B398*C398*D398</f>
        <v/>
      </c>
    </row>
    <row r="399">
      <c r="A399" t="n">
        <v>398</v>
      </c>
      <c r="B399">
        <f>IF(RAND()&lt;0.55,1,-1)</f>
        <v/>
      </c>
      <c r="C399">
        <f>IF(B399=1,2,-1)</f>
        <v/>
      </c>
      <c r="D399" t="n">
        <v>0.01</v>
      </c>
      <c r="E399">
        <f>B399*C399*D399</f>
        <v/>
      </c>
    </row>
    <row r="400">
      <c r="A400" t="n">
        <v>399</v>
      </c>
      <c r="B400">
        <f>IF(RAND()&lt;0.55,1,-1)</f>
        <v/>
      </c>
      <c r="C400">
        <f>IF(B400=1,2,-1)</f>
        <v/>
      </c>
      <c r="D400" t="n">
        <v>0.01</v>
      </c>
      <c r="E400">
        <f>B400*C400*D400</f>
        <v/>
      </c>
    </row>
    <row r="401">
      <c r="A401" t="n">
        <v>400</v>
      </c>
      <c r="B401">
        <f>IF(RAND()&lt;0.55,1,-1)</f>
        <v/>
      </c>
      <c r="C401">
        <f>IF(B401=1,2,-1)</f>
        <v/>
      </c>
      <c r="D401" t="n">
        <v>0.01</v>
      </c>
      <c r="E401">
        <f>B401*C401*D401</f>
        <v/>
      </c>
    </row>
    <row r="402">
      <c r="A402" t="n">
        <v>401</v>
      </c>
      <c r="B402">
        <f>IF(RAND()&lt;0.55,1,-1)</f>
        <v/>
      </c>
      <c r="C402">
        <f>IF(B402=1,2,-1)</f>
        <v/>
      </c>
      <c r="D402" t="n">
        <v>0.01</v>
      </c>
      <c r="E402">
        <f>B402*C402*D402</f>
        <v/>
      </c>
    </row>
    <row r="403">
      <c r="A403" t="n">
        <v>402</v>
      </c>
      <c r="B403">
        <f>IF(RAND()&lt;0.55,1,-1)</f>
        <v/>
      </c>
      <c r="C403">
        <f>IF(B403=1,2,-1)</f>
        <v/>
      </c>
      <c r="D403" t="n">
        <v>0.01</v>
      </c>
      <c r="E403">
        <f>B403*C403*D403</f>
        <v/>
      </c>
    </row>
    <row r="404">
      <c r="A404" t="n">
        <v>403</v>
      </c>
      <c r="B404">
        <f>IF(RAND()&lt;0.55,1,-1)</f>
        <v/>
      </c>
      <c r="C404">
        <f>IF(B404=1,2,-1)</f>
        <v/>
      </c>
      <c r="D404" t="n">
        <v>0.01</v>
      </c>
      <c r="E404">
        <f>B404*C404*D404</f>
        <v/>
      </c>
    </row>
    <row r="405">
      <c r="A405" t="n">
        <v>404</v>
      </c>
      <c r="B405">
        <f>IF(RAND()&lt;0.55,1,-1)</f>
        <v/>
      </c>
      <c r="C405">
        <f>IF(B405=1,2,-1)</f>
        <v/>
      </c>
      <c r="D405" t="n">
        <v>0.01</v>
      </c>
      <c r="E405">
        <f>B405*C405*D405</f>
        <v/>
      </c>
    </row>
    <row r="406">
      <c r="A406" t="n">
        <v>405</v>
      </c>
      <c r="B406">
        <f>IF(RAND()&lt;0.55,1,-1)</f>
        <v/>
      </c>
      <c r="C406">
        <f>IF(B406=1,2,-1)</f>
        <v/>
      </c>
      <c r="D406" t="n">
        <v>0.01</v>
      </c>
      <c r="E406">
        <f>B406*C406*D406</f>
        <v/>
      </c>
    </row>
    <row r="407">
      <c r="A407" t="n">
        <v>406</v>
      </c>
      <c r="B407">
        <f>IF(RAND()&lt;0.55,1,-1)</f>
        <v/>
      </c>
      <c r="C407">
        <f>IF(B407=1,2,-1)</f>
        <v/>
      </c>
      <c r="D407" t="n">
        <v>0.01</v>
      </c>
      <c r="E407">
        <f>B407*C407*D407</f>
        <v/>
      </c>
    </row>
    <row r="408">
      <c r="A408" t="n">
        <v>407</v>
      </c>
      <c r="B408">
        <f>IF(RAND()&lt;0.55,1,-1)</f>
        <v/>
      </c>
      <c r="C408">
        <f>IF(B408=1,2,-1)</f>
        <v/>
      </c>
      <c r="D408" t="n">
        <v>0.01</v>
      </c>
      <c r="E408">
        <f>B408*C408*D408</f>
        <v/>
      </c>
    </row>
    <row r="409">
      <c r="A409" t="n">
        <v>408</v>
      </c>
      <c r="B409">
        <f>IF(RAND()&lt;0.55,1,-1)</f>
        <v/>
      </c>
      <c r="C409">
        <f>IF(B409=1,2,-1)</f>
        <v/>
      </c>
      <c r="D409" t="n">
        <v>0.01</v>
      </c>
      <c r="E409">
        <f>B409*C409*D409</f>
        <v/>
      </c>
    </row>
    <row r="410">
      <c r="A410" t="n">
        <v>409</v>
      </c>
      <c r="B410">
        <f>IF(RAND()&lt;0.55,1,-1)</f>
        <v/>
      </c>
      <c r="C410">
        <f>IF(B410=1,2,-1)</f>
        <v/>
      </c>
      <c r="D410" t="n">
        <v>0.01</v>
      </c>
      <c r="E410">
        <f>B410*C410*D410</f>
        <v/>
      </c>
    </row>
    <row r="411">
      <c r="A411" t="n">
        <v>410</v>
      </c>
      <c r="B411">
        <f>IF(RAND()&lt;0.55,1,-1)</f>
        <v/>
      </c>
      <c r="C411">
        <f>IF(B411=1,2,-1)</f>
        <v/>
      </c>
      <c r="D411" t="n">
        <v>0.01</v>
      </c>
      <c r="E411">
        <f>B411*C411*D411</f>
        <v/>
      </c>
    </row>
    <row r="412">
      <c r="A412" t="n">
        <v>411</v>
      </c>
      <c r="B412">
        <f>IF(RAND()&lt;0.55,1,-1)</f>
        <v/>
      </c>
      <c r="C412">
        <f>IF(B412=1,2,-1)</f>
        <v/>
      </c>
      <c r="D412" t="n">
        <v>0.01</v>
      </c>
      <c r="E412">
        <f>B412*C412*D412</f>
        <v/>
      </c>
    </row>
    <row r="413">
      <c r="A413" t="n">
        <v>412</v>
      </c>
      <c r="B413">
        <f>IF(RAND()&lt;0.55,1,-1)</f>
        <v/>
      </c>
      <c r="C413">
        <f>IF(B413=1,2,-1)</f>
        <v/>
      </c>
      <c r="D413" t="n">
        <v>0.01</v>
      </c>
      <c r="E413">
        <f>B413*C413*D413</f>
        <v/>
      </c>
    </row>
    <row r="414">
      <c r="A414" t="n">
        <v>413</v>
      </c>
      <c r="B414">
        <f>IF(RAND()&lt;0.55,1,-1)</f>
        <v/>
      </c>
      <c r="C414">
        <f>IF(B414=1,2,-1)</f>
        <v/>
      </c>
      <c r="D414" t="n">
        <v>0.01</v>
      </c>
      <c r="E414">
        <f>B414*C414*D414</f>
        <v/>
      </c>
    </row>
    <row r="415">
      <c r="A415" t="n">
        <v>414</v>
      </c>
      <c r="B415">
        <f>IF(RAND()&lt;0.55,1,-1)</f>
        <v/>
      </c>
      <c r="C415">
        <f>IF(B415=1,2,-1)</f>
        <v/>
      </c>
      <c r="D415" t="n">
        <v>0.01</v>
      </c>
      <c r="E415">
        <f>B415*C415*D415</f>
        <v/>
      </c>
    </row>
    <row r="416">
      <c r="A416" t="n">
        <v>415</v>
      </c>
      <c r="B416">
        <f>IF(RAND()&lt;0.55,1,-1)</f>
        <v/>
      </c>
      <c r="C416">
        <f>IF(B416=1,2,-1)</f>
        <v/>
      </c>
      <c r="D416" t="n">
        <v>0.01</v>
      </c>
      <c r="E416">
        <f>B416*C416*D416</f>
        <v/>
      </c>
    </row>
    <row r="417">
      <c r="A417" t="n">
        <v>416</v>
      </c>
      <c r="B417">
        <f>IF(RAND()&lt;0.55,1,-1)</f>
        <v/>
      </c>
      <c r="C417">
        <f>IF(B417=1,2,-1)</f>
        <v/>
      </c>
      <c r="D417" t="n">
        <v>0.01</v>
      </c>
      <c r="E417">
        <f>B417*C417*D417</f>
        <v/>
      </c>
    </row>
    <row r="418">
      <c r="A418" t="n">
        <v>417</v>
      </c>
      <c r="B418">
        <f>IF(RAND()&lt;0.55,1,-1)</f>
        <v/>
      </c>
      <c r="C418">
        <f>IF(B418=1,2,-1)</f>
        <v/>
      </c>
      <c r="D418" t="n">
        <v>0.01</v>
      </c>
      <c r="E418">
        <f>B418*C418*D418</f>
        <v/>
      </c>
    </row>
    <row r="419">
      <c r="A419" t="n">
        <v>418</v>
      </c>
      <c r="B419">
        <f>IF(RAND()&lt;0.55,1,-1)</f>
        <v/>
      </c>
      <c r="C419">
        <f>IF(B419=1,2,-1)</f>
        <v/>
      </c>
      <c r="D419" t="n">
        <v>0.01</v>
      </c>
      <c r="E419">
        <f>B419*C419*D419</f>
        <v/>
      </c>
    </row>
    <row r="420">
      <c r="A420" t="n">
        <v>419</v>
      </c>
      <c r="B420">
        <f>IF(RAND()&lt;0.55,1,-1)</f>
        <v/>
      </c>
      <c r="C420">
        <f>IF(B420=1,2,-1)</f>
        <v/>
      </c>
      <c r="D420" t="n">
        <v>0.01</v>
      </c>
      <c r="E420">
        <f>B420*C420*D420</f>
        <v/>
      </c>
    </row>
    <row r="421">
      <c r="A421" t="n">
        <v>420</v>
      </c>
      <c r="B421">
        <f>IF(RAND()&lt;0.55,1,-1)</f>
        <v/>
      </c>
      <c r="C421">
        <f>IF(B421=1,2,-1)</f>
        <v/>
      </c>
      <c r="D421" t="n">
        <v>0.01</v>
      </c>
      <c r="E421">
        <f>B421*C421*D421</f>
        <v/>
      </c>
    </row>
    <row r="422">
      <c r="A422" t="n">
        <v>421</v>
      </c>
      <c r="B422">
        <f>IF(RAND()&lt;0.55,1,-1)</f>
        <v/>
      </c>
      <c r="C422">
        <f>IF(B422=1,2,-1)</f>
        <v/>
      </c>
      <c r="D422" t="n">
        <v>0.01</v>
      </c>
      <c r="E422">
        <f>B422*C422*D422</f>
        <v/>
      </c>
    </row>
    <row r="423">
      <c r="A423" t="n">
        <v>422</v>
      </c>
      <c r="B423">
        <f>IF(RAND()&lt;0.55,1,-1)</f>
        <v/>
      </c>
      <c r="C423">
        <f>IF(B423=1,2,-1)</f>
        <v/>
      </c>
      <c r="D423" t="n">
        <v>0.01</v>
      </c>
      <c r="E423">
        <f>B423*C423*D423</f>
        <v/>
      </c>
    </row>
    <row r="424">
      <c r="A424" t="n">
        <v>423</v>
      </c>
      <c r="B424">
        <f>IF(RAND()&lt;0.55,1,-1)</f>
        <v/>
      </c>
      <c r="C424">
        <f>IF(B424=1,2,-1)</f>
        <v/>
      </c>
      <c r="D424" t="n">
        <v>0.01</v>
      </c>
      <c r="E424">
        <f>B424*C424*D424</f>
        <v/>
      </c>
    </row>
    <row r="425">
      <c r="A425" t="n">
        <v>424</v>
      </c>
      <c r="B425">
        <f>IF(RAND()&lt;0.55,1,-1)</f>
        <v/>
      </c>
      <c r="C425">
        <f>IF(B425=1,2,-1)</f>
        <v/>
      </c>
      <c r="D425" t="n">
        <v>0.01</v>
      </c>
      <c r="E425">
        <f>B425*C425*D425</f>
        <v/>
      </c>
    </row>
    <row r="426">
      <c r="A426" t="n">
        <v>425</v>
      </c>
      <c r="B426">
        <f>IF(RAND()&lt;0.55,1,-1)</f>
        <v/>
      </c>
      <c r="C426">
        <f>IF(B426=1,2,-1)</f>
        <v/>
      </c>
      <c r="D426" t="n">
        <v>0.01</v>
      </c>
      <c r="E426">
        <f>B426*C426*D426</f>
        <v/>
      </c>
    </row>
    <row r="427">
      <c r="A427" t="n">
        <v>426</v>
      </c>
      <c r="B427">
        <f>IF(RAND()&lt;0.55,1,-1)</f>
        <v/>
      </c>
      <c r="C427">
        <f>IF(B427=1,2,-1)</f>
        <v/>
      </c>
      <c r="D427" t="n">
        <v>0.01</v>
      </c>
      <c r="E427">
        <f>B427*C427*D427</f>
        <v/>
      </c>
    </row>
    <row r="428">
      <c r="A428" t="n">
        <v>427</v>
      </c>
      <c r="B428">
        <f>IF(RAND()&lt;0.55,1,-1)</f>
        <v/>
      </c>
      <c r="C428">
        <f>IF(B428=1,2,-1)</f>
        <v/>
      </c>
      <c r="D428" t="n">
        <v>0.01</v>
      </c>
      <c r="E428">
        <f>B428*C428*D428</f>
        <v/>
      </c>
    </row>
    <row r="429">
      <c r="A429" t="n">
        <v>428</v>
      </c>
      <c r="B429">
        <f>IF(RAND()&lt;0.55,1,-1)</f>
        <v/>
      </c>
      <c r="C429">
        <f>IF(B429=1,2,-1)</f>
        <v/>
      </c>
      <c r="D429" t="n">
        <v>0.01</v>
      </c>
      <c r="E429">
        <f>B429*C429*D429</f>
        <v/>
      </c>
    </row>
    <row r="430">
      <c r="A430" t="n">
        <v>429</v>
      </c>
      <c r="B430">
        <f>IF(RAND()&lt;0.55,1,-1)</f>
        <v/>
      </c>
      <c r="C430">
        <f>IF(B430=1,2,-1)</f>
        <v/>
      </c>
      <c r="D430" t="n">
        <v>0.01</v>
      </c>
      <c r="E430">
        <f>B430*C430*D430</f>
        <v/>
      </c>
    </row>
    <row r="431">
      <c r="A431" t="n">
        <v>430</v>
      </c>
      <c r="B431">
        <f>IF(RAND()&lt;0.55,1,-1)</f>
        <v/>
      </c>
      <c r="C431">
        <f>IF(B431=1,2,-1)</f>
        <v/>
      </c>
      <c r="D431" t="n">
        <v>0.01</v>
      </c>
      <c r="E431">
        <f>B431*C431*D431</f>
        <v/>
      </c>
    </row>
    <row r="432">
      <c r="A432" t="n">
        <v>431</v>
      </c>
      <c r="B432">
        <f>IF(RAND()&lt;0.55,1,-1)</f>
        <v/>
      </c>
      <c r="C432">
        <f>IF(B432=1,2,-1)</f>
        <v/>
      </c>
      <c r="D432" t="n">
        <v>0.01</v>
      </c>
      <c r="E432">
        <f>B432*C432*D432</f>
        <v/>
      </c>
    </row>
    <row r="433">
      <c r="A433" t="n">
        <v>432</v>
      </c>
      <c r="B433">
        <f>IF(RAND()&lt;0.55,1,-1)</f>
        <v/>
      </c>
      <c r="C433">
        <f>IF(B433=1,2,-1)</f>
        <v/>
      </c>
      <c r="D433" t="n">
        <v>0.01</v>
      </c>
      <c r="E433">
        <f>B433*C433*D433</f>
        <v/>
      </c>
    </row>
    <row r="434">
      <c r="A434" t="n">
        <v>433</v>
      </c>
      <c r="B434">
        <f>IF(RAND()&lt;0.55,1,-1)</f>
        <v/>
      </c>
      <c r="C434">
        <f>IF(B434=1,2,-1)</f>
        <v/>
      </c>
      <c r="D434" t="n">
        <v>0.01</v>
      </c>
      <c r="E434">
        <f>B434*C434*D434</f>
        <v/>
      </c>
    </row>
    <row r="435">
      <c r="A435" t="n">
        <v>434</v>
      </c>
      <c r="B435">
        <f>IF(RAND()&lt;0.55,1,-1)</f>
        <v/>
      </c>
      <c r="C435">
        <f>IF(B435=1,2,-1)</f>
        <v/>
      </c>
      <c r="D435" t="n">
        <v>0.01</v>
      </c>
      <c r="E435">
        <f>B435*C435*D435</f>
        <v/>
      </c>
    </row>
    <row r="436">
      <c r="A436" t="n">
        <v>435</v>
      </c>
      <c r="B436">
        <f>IF(RAND()&lt;0.55,1,-1)</f>
        <v/>
      </c>
      <c r="C436">
        <f>IF(B436=1,2,-1)</f>
        <v/>
      </c>
      <c r="D436" t="n">
        <v>0.01</v>
      </c>
      <c r="E436">
        <f>B436*C436*D436</f>
        <v/>
      </c>
    </row>
    <row r="437">
      <c r="A437" t="n">
        <v>436</v>
      </c>
      <c r="B437">
        <f>IF(RAND()&lt;0.55,1,-1)</f>
        <v/>
      </c>
      <c r="C437">
        <f>IF(B437=1,2,-1)</f>
        <v/>
      </c>
      <c r="D437" t="n">
        <v>0.01</v>
      </c>
      <c r="E437">
        <f>B437*C437*D437</f>
        <v/>
      </c>
    </row>
    <row r="438">
      <c r="A438" t="n">
        <v>437</v>
      </c>
      <c r="B438">
        <f>IF(RAND()&lt;0.55,1,-1)</f>
        <v/>
      </c>
      <c r="C438">
        <f>IF(B438=1,2,-1)</f>
        <v/>
      </c>
      <c r="D438" t="n">
        <v>0.01</v>
      </c>
      <c r="E438">
        <f>B438*C438*D438</f>
        <v/>
      </c>
    </row>
    <row r="439">
      <c r="A439" t="n">
        <v>438</v>
      </c>
      <c r="B439">
        <f>IF(RAND()&lt;0.55,1,-1)</f>
        <v/>
      </c>
      <c r="C439">
        <f>IF(B439=1,2,-1)</f>
        <v/>
      </c>
      <c r="D439" t="n">
        <v>0.01</v>
      </c>
      <c r="E439">
        <f>B439*C439*D439</f>
        <v/>
      </c>
    </row>
    <row r="440">
      <c r="A440" t="n">
        <v>439</v>
      </c>
      <c r="B440">
        <f>IF(RAND()&lt;0.55,1,-1)</f>
        <v/>
      </c>
      <c r="C440">
        <f>IF(B440=1,2,-1)</f>
        <v/>
      </c>
      <c r="D440" t="n">
        <v>0.01</v>
      </c>
      <c r="E440">
        <f>B440*C440*D440</f>
        <v/>
      </c>
    </row>
    <row r="441">
      <c r="A441" t="n">
        <v>440</v>
      </c>
      <c r="B441">
        <f>IF(RAND()&lt;0.55,1,-1)</f>
        <v/>
      </c>
      <c r="C441">
        <f>IF(B441=1,2,-1)</f>
        <v/>
      </c>
      <c r="D441" t="n">
        <v>0.01</v>
      </c>
      <c r="E441">
        <f>B441*C441*D441</f>
        <v/>
      </c>
    </row>
    <row r="442">
      <c r="A442" t="n">
        <v>441</v>
      </c>
      <c r="B442">
        <f>IF(RAND()&lt;0.55,1,-1)</f>
        <v/>
      </c>
      <c r="C442">
        <f>IF(B442=1,2,-1)</f>
        <v/>
      </c>
      <c r="D442" t="n">
        <v>0.01</v>
      </c>
      <c r="E442">
        <f>B442*C442*D442</f>
        <v/>
      </c>
    </row>
    <row r="443">
      <c r="A443" t="n">
        <v>442</v>
      </c>
      <c r="B443">
        <f>IF(RAND()&lt;0.55,1,-1)</f>
        <v/>
      </c>
      <c r="C443">
        <f>IF(B443=1,2,-1)</f>
        <v/>
      </c>
      <c r="D443" t="n">
        <v>0.01</v>
      </c>
      <c r="E443">
        <f>B443*C443*D443</f>
        <v/>
      </c>
    </row>
    <row r="444">
      <c r="A444" t="n">
        <v>443</v>
      </c>
      <c r="B444">
        <f>IF(RAND()&lt;0.55,1,-1)</f>
        <v/>
      </c>
      <c r="C444">
        <f>IF(B444=1,2,-1)</f>
        <v/>
      </c>
      <c r="D444" t="n">
        <v>0.01</v>
      </c>
      <c r="E444">
        <f>B444*C444*D444</f>
        <v/>
      </c>
    </row>
    <row r="445">
      <c r="A445" t="n">
        <v>444</v>
      </c>
      <c r="B445">
        <f>IF(RAND()&lt;0.55,1,-1)</f>
        <v/>
      </c>
      <c r="C445">
        <f>IF(B445=1,2,-1)</f>
        <v/>
      </c>
      <c r="D445" t="n">
        <v>0.01</v>
      </c>
      <c r="E445">
        <f>B445*C445*D445</f>
        <v/>
      </c>
    </row>
    <row r="446">
      <c r="A446" t="n">
        <v>445</v>
      </c>
      <c r="B446">
        <f>IF(RAND()&lt;0.55,1,-1)</f>
        <v/>
      </c>
      <c r="C446">
        <f>IF(B446=1,2,-1)</f>
        <v/>
      </c>
      <c r="D446" t="n">
        <v>0.01</v>
      </c>
      <c r="E446">
        <f>B446*C446*D446</f>
        <v/>
      </c>
    </row>
    <row r="447">
      <c r="A447" t="n">
        <v>446</v>
      </c>
      <c r="B447">
        <f>IF(RAND()&lt;0.55,1,-1)</f>
        <v/>
      </c>
      <c r="C447">
        <f>IF(B447=1,2,-1)</f>
        <v/>
      </c>
      <c r="D447" t="n">
        <v>0.01</v>
      </c>
      <c r="E447">
        <f>B447*C447*D447</f>
        <v/>
      </c>
    </row>
    <row r="448">
      <c r="A448" t="n">
        <v>447</v>
      </c>
      <c r="B448">
        <f>IF(RAND()&lt;0.55,1,-1)</f>
        <v/>
      </c>
      <c r="C448">
        <f>IF(B448=1,2,-1)</f>
        <v/>
      </c>
      <c r="D448" t="n">
        <v>0.01</v>
      </c>
      <c r="E448">
        <f>B448*C448*D448</f>
        <v/>
      </c>
    </row>
    <row r="449">
      <c r="A449" t="n">
        <v>448</v>
      </c>
      <c r="B449">
        <f>IF(RAND()&lt;0.55,1,-1)</f>
        <v/>
      </c>
      <c r="C449">
        <f>IF(B449=1,2,-1)</f>
        <v/>
      </c>
      <c r="D449" t="n">
        <v>0.01</v>
      </c>
      <c r="E449">
        <f>B449*C449*D449</f>
        <v/>
      </c>
    </row>
    <row r="450">
      <c r="A450" t="n">
        <v>449</v>
      </c>
      <c r="B450">
        <f>IF(RAND()&lt;0.55,1,-1)</f>
        <v/>
      </c>
      <c r="C450">
        <f>IF(B450=1,2,-1)</f>
        <v/>
      </c>
      <c r="D450" t="n">
        <v>0.01</v>
      </c>
      <c r="E450">
        <f>B450*C450*D450</f>
        <v/>
      </c>
    </row>
    <row r="451">
      <c r="A451" t="n">
        <v>450</v>
      </c>
      <c r="B451">
        <f>IF(RAND()&lt;0.55,1,-1)</f>
        <v/>
      </c>
      <c r="C451">
        <f>IF(B451=1,2,-1)</f>
        <v/>
      </c>
      <c r="D451" t="n">
        <v>0.01</v>
      </c>
      <c r="E451">
        <f>B451*C451*D451</f>
        <v/>
      </c>
    </row>
    <row r="452">
      <c r="A452" t="n">
        <v>451</v>
      </c>
      <c r="B452">
        <f>IF(RAND()&lt;0.55,1,-1)</f>
        <v/>
      </c>
      <c r="C452">
        <f>IF(B452=1,2,-1)</f>
        <v/>
      </c>
      <c r="D452" t="n">
        <v>0.01</v>
      </c>
      <c r="E452">
        <f>B452*C452*D452</f>
        <v/>
      </c>
    </row>
    <row r="453">
      <c r="A453" t="n">
        <v>452</v>
      </c>
      <c r="B453">
        <f>IF(RAND()&lt;0.55,1,-1)</f>
        <v/>
      </c>
      <c r="C453">
        <f>IF(B453=1,2,-1)</f>
        <v/>
      </c>
      <c r="D453" t="n">
        <v>0.01</v>
      </c>
      <c r="E453">
        <f>B453*C453*D453</f>
        <v/>
      </c>
    </row>
    <row r="454">
      <c r="A454" t="n">
        <v>453</v>
      </c>
      <c r="B454">
        <f>IF(RAND()&lt;0.55,1,-1)</f>
        <v/>
      </c>
      <c r="C454">
        <f>IF(B454=1,2,-1)</f>
        <v/>
      </c>
      <c r="D454" t="n">
        <v>0.01</v>
      </c>
      <c r="E454">
        <f>B454*C454*D454</f>
        <v/>
      </c>
    </row>
    <row r="455">
      <c r="A455" t="n">
        <v>454</v>
      </c>
      <c r="B455">
        <f>IF(RAND()&lt;0.55,1,-1)</f>
        <v/>
      </c>
      <c r="C455">
        <f>IF(B455=1,2,-1)</f>
        <v/>
      </c>
      <c r="D455" t="n">
        <v>0.01</v>
      </c>
      <c r="E455">
        <f>B455*C455*D455</f>
        <v/>
      </c>
    </row>
    <row r="456">
      <c r="A456" t="n">
        <v>455</v>
      </c>
      <c r="B456">
        <f>IF(RAND()&lt;0.55,1,-1)</f>
        <v/>
      </c>
      <c r="C456">
        <f>IF(B456=1,2,-1)</f>
        <v/>
      </c>
      <c r="D456" t="n">
        <v>0.01</v>
      </c>
      <c r="E456">
        <f>B456*C456*D456</f>
        <v/>
      </c>
    </row>
    <row r="457">
      <c r="A457" t="n">
        <v>456</v>
      </c>
      <c r="B457">
        <f>IF(RAND()&lt;0.55,1,-1)</f>
        <v/>
      </c>
      <c r="C457">
        <f>IF(B457=1,2,-1)</f>
        <v/>
      </c>
      <c r="D457" t="n">
        <v>0.01</v>
      </c>
      <c r="E457">
        <f>B457*C457*D457</f>
        <v/>
      </c>
    </row>
    <row r="458">
      <c r="A458" t="n">
        <v>457</v>
      </c>
      <c r="B458">
        <f>IF(RAND()&lt;0.55,1,-1)</f>
        <v/>
      </c>
      <c r="C458">
        <f>IF(B458=1,2,-1)</f>
        <v/>
      </c>
      <c r="D458" t="n">
        <v>0.01</v>
      </c>
      <c r="E458">
        <f>B458*C458*D458</f>
        <v/>
      </c>
    </row>
    <row r="459">
      <c r="A459" t="n">
        <v>458</v>
      </c>
      <c r="B459">
        <f>IF(RAND()&lt;0.55,1,-1)</f>
        <v/>
      </c>
      <c r="C459">
        <f>IF(B459=1,2,-1)</f>
        <v/>
      </c>
      <c r="D459" t="n">
        <v>0.01</v>
      </c>
      <c r="E459">
        <f>B459*C459*D459</f>
        <v/>
      </c>
    </row>
    <row r="460">
      <c r="A460" t="n">
        <v>459</v>
      </c>
      <c r="B460">
        <f>IF(RAND()&lt;0.55,1,-1)</f>
        <v/>
      </c>
      <c r="C460">
        <f>IF(B460=1,2,-1)</f>
        <v/>
      </c>
      <c r="D460" t="n">
        <v>0.01</v>
      </c>
      <c r="E460">
        <f>B460*C460*D460</f>
        <v/>
      </c>
    </row>
    <row r="461">
      <c r="A461" t="n">
        <v>460</v>
      </c>
      <c r="B461">
        <f>IF(RAND()&lt;0.55,1,-1)</f>
        <v/>
      </c>
      <c r="C461">
        <f>IF(B461=1,2,-1)</f>
        <v/>
      </c>
      <c r="D461" t="n">
        <v>0.01</v>
      </c>
      <c r="E461">
        <f>B461*C461*D461</f>
        <v/>
      </c>
    </row>
    <row r="462">
      <c r="A462" t="n">
        <v>461</v>
      </c>
      <c r="B462">
        <f>IF(RAND()&lt;0.55,1,-1)</f>
        <v/>
      </c>
      <c r="C462">
        <f>IF(B462=1,2,-1)</f>
        <v/>
      </c>
      <c r="D462" t="n">
        <v>0.01</v>
      </c>
      <c r="E462">
        <f>B462*C462*D462</f>
        <v/>
      </c>
    </row>
    <row r="463">
      <c r="A463" t="n">
        <v>462</v>
      </c>
      <c r="B463">
        <f>IF(RAND()&lt;0.55,1,-1)</f>
        <v/>
      </c>
      <c r="C463">
        <f>IF(B463=1,2,-1)</f>
        <v/>
      </c>
      <c r="D463" t="n">
        <v>0.01</v>
      </c>
      <c r="E463">
        <f>B463*C463*D463</f>
        <v/>
      </c>
    </row>
    <row r="464">
      <c r="A464" t="n">
        <v>463</v>
      </c>
      <c r="B464">
        <f>IF(RAND()&lt;0.55,1,-1)</f>
        <v/>
      </c>
      <c r="C464">
        <f>IF(B464=1,2,-1)</f>
        <v/>
      </c>
      <c r="D464" t="n">
        <v>0.01</v>
      </c>
      <c r="E464">
        <f>B464*C464*D464</f>
        <v/>
      </c>
    </row>
    <row r="465">
      <c r="A465" t="n">
        <v>464</v>
      </c>
      <c r="B465">
        <f>IF(RAND()&lt;0.55,1,-1)</f>
        <v/>
      </c>
      <c r="C465">
        <f>IF(B465=1,2,-1)</f>
        <v/>
      </c>
      <c r="D465" t="n">
        <v>0.01</v>
      </c>
      <c r="E465">
        <f>B465*C465*D465</f>
        <v/>
      </c>
    </row>
    <row r="466">
      <c r="A466" t="n">
        <v>465</v>
      </c>
      <c r="B466">
        <f>IF(RAND()&lt;0.55,1,-1)</f>
        <v/>
      </c>
      <c r="C466">
        <f>IF(B466=1,2,-1)</f>
        <v/>
      </c>
      <c r="D466" t="n">
        <v>0.01</v>
      </c>
      <c r="E466">
        <f>B466*C466*D466</f>
        <v/>
      </c>
    </row>
    <row r="467">
      <c r="A467" t="n">
        <v>466</v>
      </c>
      <c r="B467">
        <f>IF(RAND()&lt;0.55,1,-1)</f>
        <v/>
      </c>
      <c r="C467">
        <f>IF(B467=1,2,-1)</f>
        <v/>
      </c>
      <c r="D467" t="n">
        <v>0.01</v>
      </c>
      <c r="E467">
        <f>B467*C467*D467</f>
        <v/>
      </c>
    </row>
    <row r="468">
      <c r="A468" t="n">
        <v>467</v>
      </c>
      <c r="B468">
        <f>IF(RAND()&lt;0.55,1,-1)</f>
        <v/>
      </c>
      <c r="C468">
        <f>IF(B468=1,2,-1)</f>
        <v/>
      </c>
      <c r="D468" t="n">
        <v>0.01</v>
      </c>
      <c r="E468">
        <f>B468*C468*D468</f>
        <v/>
      </c>
    </row>
    <row r="469">
      <c r="A469" t="n">
        <v>468</v>
      </c>
      <c r="B469">
        <f>IF(RAND()&lt;0.55,1,-1)</f>
        <v/>
      </c>
      <c r="C469">
        <f>IF(B469=1,2,-1)</f>
        <v/>
      </c>
      <c r="D469" t="n">
        <v>0.01</v>
      </c>
      <c r="E469">
        <f>B469*C469*D469</f>
        <v/>
      </c>
    </row>
    <row r="470">
      <c r="A470" t="n">
        <v>469</v>
      </c>
      <c r="B470">
        <f>IF(RAND()&lt;0.55,1,-1)</f>
        <v/>
      </c>
      <c r="C470">
        <f>IF(B470=1,2,-1)</f>
        <v/>
      </c>
      <c r="D470" t="n">
        <v>0.01</v>
      </c>
      <c r="E470">
        <f>B470*C470*D470</f>
        <v/>
      </c>
    </row>
    <row r="471">
      <c r="A471" t="n">
        <v>470</v>
      </c>
      <c r="B471">
        <f>IF(RAND()&lt;0.55,1,-1)</f>
        <v/>
      </c>
      <c r="C471">
        <f>IF(B471=1,2,-1)</f>
        <v/>
      </c>
      <c r="D471" t="n">
        <v>0.01</v>
      </c>
      <c r="E471">
        <f>B471*C471*D471</f>
        <v/>
      </c>
    </row>
    <row r="472">
      <c r="A472" t="n">
        <v>471</v>
      </c>
      <c r="B472">
        <f>IF(RAND()&lt;0.55,1,-1)</f>
        <v/>
      </c>
      <c r="C472">
        <f>IF(B472=1,2,-1)</f>
        <v/>
      </c>
      <c r="D472" t="n">
        <v>0.01</v>
      </c>
      <c r="E472">
        <f>B472*C472*D472</f>
        <v/>
      </c>
    </row>
    <row r="473">
      <c r="A473" t="n">
        <v>472</v>
      </c>
      <c r="B473">
        <f>IF(RAND()&lt;0.55,1,-1)</f>
        <v/>
      </c>
      <c r="C473">
        <f>IF(B473=1,2,-1)</f>
        <v/>
      </c>
      <c r="D473" t="n">
        <v>0.01</v>
      </c>
      <c r="E473">
        <f>B473*C473*D473</f>
        <v/>
      </c>
    </row>
    <row r="474">
      <c r="A474" t="n">
        <v>473</v>
      </c>
      <c r="B474">
        <f>IF(RAND()&lt;0.55,1,-1)</f>
        <v/>
      </c>
      <c r="C474">
        <f>IF(B474=1,2,-1)</f>
        <v/>
      </c>
      <c r="D474" t="n">
        <v>0.01</v>
      </c>
      <c r="E474">
        <f>B474*C474*D474</f>
        <v/>
      </c>
    </row>
    <row r="475">
      <c r="A475" t="n">
        <v>474</v>
      </c>
      <c r="B475">
        <f>IF(RAND()&lt;0.55,1,-1)</f>
        <v/>
      </c>
      <c r="C475">
        <f>IF(B475=1,2,-1)</f>
        <v/>
      </c>
      <c r="D475" t="n">
        <v>0.01</v>
      </c>
      <c r="E475">
        <f>B475*C475*D475</f>
        <v/>
      </c>
    </row>
    <row r="476">
      <c r="A476" t="n">
        <v>475</v>
      </c>
      <c r="B476">
        <f>IF(RAND()&lt;0.55,1,-1)</f>
        <v/>
      </c>
      <c r="C476">
        <f>IF(B476=1,2,-1)</f>
        <v/>
      </c>
      <c r="D476" t="n">
        <v>0.01</v>
      </c>
      <c r="E476">
        <f>B476*C476*D476</f>
        <v/>
      </c>
    </row>
    <row r="477">
      <c r="A477" t="n">
        <v>476</v>
      </c>
      <c r="B477">
        <f>IF(RAND()&lt;0.55,1,-1)</f>
        <v/>
      </c>
      <c r="C477">
        <f>IF(B477=1,2,-1)</f>
        <v/>
      </c>
      <c r="D477" t="n">
        <v>0.01</v>
      </c>
      <c r="E477">
        <f>B477*C477*D477</f>
        <v/>
      </c>
    </row>
    <row r="478">
      <c r="A478" t="n">
        <v>477</v>
      </c>
      <c r="B478">
        <f>IF(RAND()&lt;0.55,1,-1)</f>
        <v/>
      </c>
      <c r="C478">
        <f>IF(B478=1,2,-1)</f>
        <v/>
      </c>
      <c r="D478" t="n">
        <v>0.01</v>
      </c>
      <c r="E478">
        <f>B478*C478*D478</f>
        <v/>
      </c>
    </row>
    <row r="479">
      <c r="A479" t="n">
        <v>478</v>
      </c>
      <c r="B479">
        <f>IF(RAND()&lt;0.55,1,-1)</f>
        <v/>
      </c>
      <c r="C479">
        <f>IF(B479=1,2,-1)</f>
        <v/>
      </c>
      <c r="D479" t="n">
        <v>0.01</v>
      </c>
      <c r="E479">
        <f>B479*C479*D479</f>
        <v/>
      </c>
    </row>
    <row r="480">
      <c r="A480" t="n">
        <v>479</v>
      </c>
      <c r="B480">
        <f>IF(RAND()&lt;0.55,1,-1)</f>
        <v/>
      </c>
      <c r="C480">
        <f>IF(B480=1,2,-1)</f>
        <v/>
      </c>
      <c r="D480" t="n">
        <v>0.01</v>
      </c>
      <c r="E480">
        <f>B480*C480*D480</f>
        <v/>
      </c>
    </row>
    <row r="481">
      <c r="A481" t="n">
        <v>480</v>
      </c>
      <c r="B481">
        <f>IF(RAND()&lt;0.55,1,-1)</f>
        <v/>
      </c>
      <c r="C481">
        <f>IF(B481=1,2,-1)</f>
        <v/>
      </c>
      <c r="D481" t="n">
        <v>0.01</v>
      </c>
      <c r="E481">
        <f>B481*C481*D481</f>
        <v/>
      </c>
    </row>
    <row r="482">
      <c r="A482" t="n">
        <v>481</v>
      </c>
      <c r="B482">
        <f>IF(RAND()&lt;0.55,1,-1)</f>
        <v/>
      </c>
      <c r="C482">
        <f>IF(B482=1,2,-1)</f>
        <v/>
      </c>
      <c r="D482" t="n">
        <v>0.01</v>
      </c>
      <c r="E482">
        <f>B482*C482*D482</f>
        <v/>
      </c>
    </row>
    <row r="483">
      <c r="A483" t="n">
        <v>482</v>
      </c>
      <c r="B483">
        <f>IF(RAND()&lt;0.55,1,-1)</f>
        <v/>
      </c>
      <c r="C483">
        <f>IF(B483=1,2,-1)</f>
        <v/>
      </c>
      <c r="D483" t="n">
        <v>0.01</v>
      </c>
      <c r="E483">
        <f>B483*C483*D483</f>
        <v/>
      </c>
    </row>
    <row r="484">
      <c r="A484" t="n">
        <v>483</v>
      </c>
      <c r="B484">
        <f>IF(RAND()&lt;0.55,1,-1)</f>
        <v/>
      </c>
      <c r="C484">
        <f>IF(B484=1,2,-1)</f>
        <v/>
      </c>
      <c r="D484" t="n">
        <v>0.01</v>
      </c>
      <c r="E484">
        <f>B484*C484*D484</f>
        <v/>
      </c>
    </row>
    <row r="485">
      <c r="A485" t="n">
        <v>484</v>
      </c>
      <c r="B485">
        <f>IF(RAND()&lt;0.55,1,-1)</f>
        <v/>
      </c>
      <c r="C485">
        <f>IF(B485=1,2,-1)</f>
        <v/>
      </c>
      <c r="D485" t="n">
        <v>0.01</v>
      </c>
      <c r="E485">
        <f>B485*C485*D485</f>
        <v/>
      </c>
    </row>
    <row r="486">
      <c r="A486" t="n">
        <v>485</v>
      </c>
      <c r="B486">
        <f>IF(RAND()&lt;0.55,1,-1)</f>
        <v/>
      </c>
      <c r="C486">
        <f>IF(B486=1,2,-1)</f>
        <v/>
      </c>
      <c r="D486" t="n">
        <v>0.01</v>
      </c>
      <c r="E486">
        <f>B486*C486*D486</f>
        <v/>
      </c>
    </row>
    <row r="487">
      <c r="A487" t="n">
        <v>486</v>
      </c>
      <c r="B487">
        <f>IF(RAND()&lt;0.55,1,-1)</f>
        <v/>
      </c>
      <c r="C487">
        <f>IF(B487=1,2,-1)</f>
        <v/>
      </c>
      <c r="D487" t="n">
        <v>0.01</v>
      </c>
      <c r="E487">
        <f>B487*C487*D487</f>
        <v/>
      </c>
    </row>
    <row r="488">
      <c r="A488" t="n">
        <v>487</v>
      </c>
      <c r="B488">
        <f>IF(RAND()&lt;0.55,1,-1)</f>
        <v/>
      </c>
      <c r="C488">
        <f>IF(B488=1,2,-1)</f>
        <v/>
      </c>
      <c r="D488" t="n">
        <v>0.01</v>
      </c>
      <c r="E488">
        <f>B488*C488*D488</f>
        <v/>
      </c>
    </row>
    <row r="489">
      <c r="A489" t="n">
        <v>488</v>
      </c>
      <c r="B489">
        <f>IF(RAND()&lt;0.55,1,-1)</f>
        <v/>
      </c>
      <c r="C489">
        <f>IF(B489=1,2,-1)</f>
        <v/>
      </c>
      <c r="D489" t="n">
        <v>0.01</v>
      </c>
      <c r="E489">
        <f>B489*C489*D489</f>
        <v/>
      </c>
    </row>
    <row r="490">
      <c r="A490" t="n">
        <v>489</v>
      </c>
      <c r="B490">
        <f>IF(RAND()&lt;0.55,1,-1)</f>
        <v/>
      </c>
      <c r="C490">
        <f>IF(B490=1,2,-1)</f>
        <v/>
      </c>
      <c r="D490" t="n">
        <v>0.01</v>
      </c>
      <c r="E490">
        <f>B490*C490*D490</f>
        <v/>
      </c>
    </row>
    <row r="491">
      <c r="A491" t="n">
        <v>490</v>
      </c>
      <c r="B491">
        <f>IF(RAND()&lt;0.55,1,-1)</f>
        <v/>
      </c>
      <c r="C491">
        <f>IF(B491=1,2,-1)</f>
        <v/>
      </c>
      <c r="D491" t="n">
        <v>0.01</v>
      </c>
      <c r="E491">
        <f>B491*C491*D491</f>
        <v/>
      </c>
    </row>
    <row r="492">
      <c r="A492" t="n">
        <v>491</v>
      </c>
      <c r="B492">
        <f>IF(RAND()&lt;0.55,1,-1)</f>
        <v/>
      </c>
      <c r="C492">
        <f>IF(B492=1,2,-1)</f>
        <v/>
      </c>
      <c r="D492" t="n">
        <v>0.01</v>
      </c>
      <c r="E492">
        <f>B492*C492*D492</f>
        <v/>
      </c>
    </row>
    <row r="493">
      <c r="A493" t="n">
        <v>492</v>
      </c>
      <c r="B493">
        <f>IF(RAND()&lt;0.55,1,-1)</f>
        <v/>
      </c>
      <c r="C493">
        <f>IF(B493=1,2,-1)</f>
        <v/>
      </c>
      <c r="D493" t="n">
        <v>0.01</v>
      </c>
      <c r="E493">
        <f>B493*C493*D493</f>
        <v/>
      </c>
    </row>
    <row r="494">
      <c r="A494" t="n">
        <v>493</v>
      </c>
      <c r="B494">
        <f>IF(RAND()&lt;0.55,1,-1)</f>
        <v/>
      </c>
      <c r="C494">
        <f>IF(B494=1,2,-1)</f>
        <v/>
      </c>
      <c r="D494" t="n">
        <v>0.01</v>
      </c>
      <c r="E494">
        <f>B494*C494*D494</f>
        <v/>
      </c>
    </row>
    <row r="495">
      <c r="A495" t="n">
        <v>494</v>
      </c>
      <c r="B495">
        <f>IF(RAND()&lt;0.55,1,-1)</f>
        <v/>
      </c>
      <c r="C495">
        <f>IF(B495=1,2,-1)</f>
        <v/>
      </c>
      <c r="D495" t="n">
        <v>0.01</v>
      </c>
      <c r="E495">
        <f>B495*C495*D495</f>
        <v/>
      </c>
    </row>
    <row r="496">
      <c r="A496" t="n">
        <v>495</v>
      </c>
      <c r="B496">
        <f>IF(RAND()&lt;0.55,1,-1)</f>
        <v/>
      </c>
      <c r="C496">
        <f>IF(B496=1,2,-1)</f>
        <v/>
      </c>
      <c r="D496" t="n">
        <v>0.01</v>
      </c>
      <c r="E496">
        <f>B496*C496*D496</f>
        <v/>
      </c>
    </row>
    <row r="497">
      <c r="A497" t="n">
        <v>496</v>
      </c>
      <c r="B497">
        <f>IF(RAND()&lt;0.55,1,-1)</f>
        <v/>
      </c>
      <c r="C497">
        <f>IF(B497=1,2,-1)</f>
        <v/>
      </c>
      <c r="D497" t="n">
        <v>0.01</v>
      </c>
      <c r="E497">
        <f>B497*C497*D497</f>
        <v/>
      </c>
    </row>
    <row r="498">
      <c r="A498" t="n">
        <v>497</v>
      </c>
      <c r="B498">
        <f>IF(RAND()&lt;0.55,1,-1)</f>
        <v/>
      </c>
      <c r="C498">
        <f>IF(B498=1,2,-1)</f>
        <v/>
      </c>
      <c r="D498" t="n">
        <v>0.01</v>
      </c>
      <c r="E498">
        <f>B498*C498*D498</f>
        <v/>
      </c>
    </row>
    <row r="499">
      <c r="A499" t="n">
        <v>498</v>
      </c>
      <c r="B499">
        <f>IF(RAND()&lt;0.55,1,-1)</f>
        <v/>
      </c>
      <c r="C499">
        <f>IF(B499=1,2,-1)</f>
        <v/>
      </c>
      <c r="D499" t="n">
        <v>0.01</v>
      </c>
      <c r="E499">
        <f>B499*C499*D499</f>
        <v/>
      </c>
    </row>
    <row r="500">
      <c r="A500" t="n">
        <v>499</v>
      </c>
      <c r="B500">
        <f>IF(RAND()&lt;0.55,1,-1)</f>
        <v/>
      </c>
      <c r="C500">
        <f>IF(B500=1,2,-1)</f>
        <v/>
      </c>
      <c r="D500" t="n">
        <v>0.01</v>
      </c>
      <c r="E500">
        <f>B500*C500*D500</f>
        <v/>
      </c>
    </row>
    <row r="501">
      <c r="A501" t="n">
        <v>500</v>
      </c>
      <c r="B501">
        <f>IF(RAND()&lt;0.55,1,-1)</f>
        <v/>
      </c>
      <c r="C501">
        <f>IF(B501=1,2,-1)</f>
        <v/>
      </c>
      <c r="D501" t="n">
        <v>0.01</v>
      </c>
      <c r="E501">
        <f>B501*C501*D501</f>
        <v/>
      </c>
    </row>
    <row r="502">
      <c r="A502" t="n">
        <v>501</v>
      </c>
      <c r="B502">
        <f>IF(RAND()&lt;0.55,1,-1)</f>
        <v/>
      </c>
      <c r="C502">
        <f>IF(B502=1,2,-1)</f>
        <v/>
      </c>
      <c r="D502" t="n">
        <v>0.01</v>
      </c>
      <c r="E502">
        <f>B502*C502*D502</f>
        <v/>
      </c>
    </row>
    <row r="503">
      <c r="A503" t="n">
        <v>502</v>
      </c>
      <c r="B503">
        <f>IF(RAND()&lt;0.55,1,-1)</f>
        <v/>
      </c>
      <c r="C503">
        <f>IF(B503=1,2,-1)</f>
        <v/>
      </c>
      <c r="D503" t="n">
        <v>0.01</v>
      </c>
      <c r="E503">
        <f>B503*C503*D503</f>
        <v/>
      </c>
    </row>
    <row r="504">
      <c r="A504" t="n">
        <v>503</v>
      </c>
      <c r="B504">
        <f>IF(RAND()&lt;0.55,1,-1)</f>
        <v/>
      </c>
      <c r="C504">
        <f>IF(B504=1,2,-1)</f>
        <v/>
      </c>
      <c r="D504" t="n">
        <v>0.01</v>
      </c>
      <c r="E504">
        <f>B504*C504*D504</f>
        <v/>
      </c>
    </row>
    <row r="505">
      <c r="A505" t="n">
        <v>504</v>
      </c>
      <c r="B505">
        <f>IF(RAND()&lt;0.55,1,-1)</f>
        <v/>
      </c>
      <c r="C505">
        <f>IF(B505=1,2,-1)</f>
        <v/>
      </c>
      <c r="D505" t="n">
        <v>0.01</v>
      </c>
      <c r="E505">
        <f>B505*C505*D505</f>
        <v/>
      </c>
    </row>
    <row r="506">
      <c r="A506" t="n">
        <v>505</v>
      </c>
      <c r="B506">
        <f>IF(RAND()&lt;0.55,1,-1)</f>
        <v/>
      </c>
      <c r="C506">
        <f>IF(B506=1,2,-1)</f>
        <v/>
      </c>
      <c r="D506" t="n">
        <v>0.01</v>
      </c>
      <c r="E506">
        <f>B506*C506*D506</f>
        <v/>
      </c>
    </row>
    <row r="507">
      <c r="A507" t="n">
        <v>506</v>
      </c>
      <c r="B507">
        <f>IF(RAND()&lt;0.55,1,-1)</f>
        <v/>
      </c>
      <c r="C507">
        <f>IF(B507=1,2,-1)</f>
        <v/>
      </c>
      <c r="D507" t="n">
        <v>0.01</v>
      </c>
      <c r="E507">
        <f>B507*C507*D507</f>
        <v/>
      </c>
    </row>
    <row r="508">
      <c r="A508" t="n">
        <v>507</v>
      </c>
      <c r="B508">
        <f>IF(RAND()&lt;0.55,1,-1)</f>
        <v/>
      </c>
      <c r="C508">
        <f>IF(B508=1,2,-1)</f>
        <v/>
      </c>
      <c r="D508" t="n">
        <v>0.01</v>
      </c>
      <c r="E508">
        <f>B508*C508*D508</f>
        <v/>
      </c>
    </row>
    <row r="509">
      <c r="A509" t="n">
        <v>508</v>
      </c>
      <c r="B509">
        <f>IF(RAND()&lt;0.55,1,-1)</f>
        <v/>
      </c>
      <c r="C509">
        <f>IF(B509=1,2,-1)</f>
        <v/>
      </c>
      <c r="D509" t="n">
        <v>0.01</v>
      </c>
      <c r="E509">
        <f>B509*C509*D509</f>
        <v/>
      </c>
    </row>
    <row r="510">
      <c r="A510" t="n">
        <v>509</v>
      </c>
      <c r="B510">
        <f>IF(RAND()&lt;0.55,1,-1)</f>
        <v/>
      </c>
      <c r="C510">
        <f>IF(B510=1,2,-1)</f>
        <v/>
      </c>
      <c r="D510" t="n">
        <v>0.01</v>
      </c>
      <c r="E510">
        <f>B510*C510*D510</f>
        <v/>
      </c>
    </row>
    <row r="511">
      <c r="A511" t="n">
        <v>510</v>
      </c>
      <c r="B511">
        <f>IF(RAND()&lt;0.55,1,-1)</f>
        <v/>
      </c>
      <c r="C511">
        <f>IF(B511=1,2,-1)</f>
        <v/>
      </c>
      <c r="D511" t="n">
        <v>0.01</v>
      </c>
      <c r="E511">
        <f>B511*C511*D511</f>
        <v/>
      </c>
    </row>
    <row r="512">
      <c r="A512" t="n">
        <v>511</v>
      </c>
      <c r="B512">
        <f>IF(RAND()&lt;0.55,1,-1)</f>
        <v/>
      </c>
      <c r="C512">
        <f>IF(B512=1,2,-1)</f>
        <v/>
      </c>
      <c r="D512" t="n">
        <v>0.01</v>
      </c>
      <c r="E512">
        <f>B512*C512*D512</f>
        <v/>
      </c>
    </row>
    <row r="513">
      <c r="A513" t="n">
        <v>512</v>
      </c>
      <c r="B513">
        <f>IF(RAND()&lt;0.55,1,-1)</f>
        <v/>
      </c>
      <c r="C513">
        <f>IF(B513=1,2,-1)</f>
        <v/>
      </c>
      <c r="D513" t="n">
        <v>0.01</v>
      </c>
      <c r="E513">
        <f>B513*C513*D513</f>
        <v/>
      </c>
    </row>
    <row r="514">
      <c r="A514" t="n">
        <v>513</v>
      </c>
      <c r="B514">
        <f>IF(RAND()&lt;0.55,1,-1)</f>
        <v/>
      </c>
      <c r="C514">
        <f>IF(B514=1,2,-1)</f>
        <v/>
      </c>
      <c r="D514" t="n">
        <v>0.01</v>
      </c>
      <c r="E514">
        <f>B514*C514*D514</f>
        <v/>
      </c>
    </row>
    <row r="515">
      <c r="A515" t="n">
        <v>514</v>
      </c>
      <c r="B515">
        <f>IF(RAND()&lt;0.55,1,-1)</f>
        <v/>
      </c>
      <c r="C515">
        <f>IF(B515=1,2,-1)</f>
        <v/>
      </c>
      <c r="D515" t="n">
        <v>0.01</v>
      </c>
      <c r="E515">
        <f>B515*C515*D515</f>
        <v/>
      </c>
    </row>
    <row r="516">
      <c r="A516" t="n">
        <v>515</v>
      </c>
      <c r="B516">
        <f>IF(RAND()&lt;0.55,1,-1)</f>
        <v/>
      </c>
      <c r="C516">
        <f>IF(B516=1,2,-1)</f>
        <v/>
      </c>
      <c r="D516" t="n">
        <v>0.01</v>
      </c>
      <c r="E516">
        <f>B516*C516*D516</f>
        <v/>
      </c>
    </row>
    <row r="517">
      <c r="A517" t="n">
        <v>516</v>
      </c>
      <c r="B517">
        <f>IF(RAND()&lt;0.55,1,-1)</f>
        <v/>
      </c>
      <c r="C517">
        <f>IF(B517=1,2,-1)</f>
        <v/>
      </c>
      <c r="D517" t="n">
        <v>0.01</v>
      </c>
      <c r="E517">
        <f>B517*C517*D517</f>
        <v/>
      </c>
    </row>
    <row r="518">
      <c r="A518" t="n">
        <v>517</v>
      </c>
      <c r="B518">
        <f>IF(RAND()&lt;0.55,1,-1)</f>
        <v/>
      </c>
      <c r="C518">
        <f>IF(B518=1,2,-1)</f>
        <v/>
      </c>
      <c r="D518" t="n">
        <v>0.01</v>
      </c>
      <c r="E518">
        <f>B518*C518*D518</f>
        <v/>
      </c>
    </row>
    <row r="519">
      <c r="A519" t="n">
        <v>518</v>
      </c>
      <c r="B519">
        <f>IF(RAND()&lt;0.55,1,-1)</f>
        <v/>
      </c>
      <c r="C519">
        <f>IF(B519=1,2,-1)</f>
        <v/>
      </c>
      <c r="D519" t="n">
        <v>0.01</v>
      </c>
      <c r="E519">
        <f>B519*C519*D519</f>
        <v/>
      </c>
    </row>
    <row r="520">
      <c r="A520" t="n">
        <v>519</v>
      </c>
      <c r="B520">
        <f>IF(RAND()&lt;0.55,1,-1)</f>
        <v/>
      </c>
      <c r="C520">
        <f>IF(B520=1,2,-1)</f>
        <v/>
      </c>
      <c r="D520" t="n">
        <v>0.01</v>
      </c>
      <c r="E520">
        <f>B520*C520*D520</f>
        <v/>
      </c>
    </row>
    <row r="521">
      <c r="A521" t="n">
        <v>520</v>
      </c>
      <c r="B521">
        <f>IF(RAND()&lt;0.55,1,-1)</f>
        <v/>
      </c>
      <c r="C521">
        <f>IF(B521=1,2,-1)</f>
        <v/>
      </c>
      <c r="D521" t="n">
        <v>0.01</v>
      </c>
      <c r="E521">
        <f>B521*C521*D521</f>
        <v/>
      </c>
    </row>
    <row r="522">
      <c r="A522" t="n">
        <v>521</v>
      </c>
      <c r="B522">
        <f>IF(RAND()&lt;0.55,1,-1)</f>
        <v/>
      </c>
      <c r="C522">
        <f>IF(B522=1,2,-1)</f>
        <v/>
      </c>
      <c r="D522" t="n">
        <v>0.01</v>
      </c>
      <c r="E522">
        <f>B522*C522*D522</f>
        <v/>
      </c>
    </row>
    <row r="523">
      <c r="A523" t="n">
        <v>522</v>
      </c>
      <c r="B523">
        <f>IF(RAND()&lt;0.55,1,-1)</f>
        <v/>
      </c>
      <c r="C523">
        <f>IF(B523=1,2,-1)</f>
        <v/>
      </c>
      <c r="D523" t="n">
        <v>0.01</v>
      </c>
      <c r="E523">
        <f>B523*C523*D523</f>
        <v/>
      </c>
    </row>
    <row r="524">
      <c r="A524" t="n">
        <v>523</v>
      </c>
      <c r="B524">
        <f>IF(RAND()&lt;0.55,1,-1)</f>
        <v/>
      </c>
      <c r="C524">
        <f>IF(B524=1,2,-1)</f>
        <v/>
      </c>
      <c r="D524" t="n">
        <v>0.01</v>
      </c>
      <c r="E524">
        <f>B524*C524*D524</f>
        <v/>
      </c>
    </row>
    <row r="525">
      <c r="A525" t="n">
        <v>524</v>
      </c>
      <c r="B525">
        <f>IF(RAND()&lt;0.55,1,-1)</f>
        <v/>
      </c>
      <c r="C525">
        <f>IF(B525=1,2,-1)</f>
        <v/>
      </c>
      <c r="D525" t="n">
        <v>0.01</v>
      </c>
      <c r="E525">
        <f>B525*C525*D525</f>
        <v/>
      </c>
    </row>
    <row r="526">
      <c r="A526" t="n">
        <v>525</v>
      </c>
      <c r="B526">
        <f>IF(RAND()&lt;0.55,1,-1)</f>
        <v/>
      </c>
      <c r="C526">
        <f>IF(B526=1,2,-1)</f>
        <v/>
      </c>
      <c r="D526" t="n">
        <v>0.01</v>
      </c>
      <c r="E526">
        <f>B526*C526*D526</f>
        <v/>
      </c>
    </row>
    <row r="527">
      <c r="A527" t="n">
        <v>526</v>
      </c>
      <c r="B527">
        <f>IF(RAND()&lt;0.55,1,-1)</f>
        <v/>
      </c>
      <c r="C527">
        <f>IF(B527=1,2,-1)</f>
        <v/>
      </c>
      <c r="D527" t="n">
        <v>0.01</v>
      </c>
      <c r="E527">
        <f>B527*C527*D527</f>
        <v/>
      </c>
    </row>
    <row r="528">
      <c r="A528" t="n">
        <v>527</v>
      </c>
      <c r="B528">
        <f>IF(RAND()&lt;0.55,1,-1)</f>
        <v/>
      </c>
      <c r="C528">
        <f>IF(B528=1,2,-1)</f>
        <v/>
      </c>
      <c r="D528" t="n">
        <v>0.01</v>
      </c>
      <c r="E528">
        <f>B528*C528*D528</f>
        <v/>
      </c>
    </row>
    <row r="529">
      <c r="A529" t="n">
        <v>528</v>
      </c>
      <c r="B529">
        <f>IF(RAND()&lt;0.55,1,-1)</f>
        <v/>
      </c>
      <c r="C529">
        <f>IF(B529=1,2,-1)</f>
        <v/>
      </c>
      <c r="D529" t="n">
        <v>0.01</v>
      </c>
      <c r="E529">
        <f>B529*C529*D529</f>
        <v/>
      </c>
    </row>
    <row r="530">
      <c r="A530" t="n">
        <v>529</v>
      </c>
      <c r="B530">
        <f>IF(RAND()&lt;0.55,1,-1)</f>
        <v/>
      </c>
      <c r="C530">
        <f>IF(B530=1,2,-1)</f>
        <v/>
      </c>
      <c r="D530" t="n">
        <v>0.01</v>
      </c>
      <c r="E530">
        <f>B530*C530*D530</f>
        <v/>
      </c>
    </row>
    <row r="531">
      <c r="A531" t="n">
        <v>530</v>
      </c>
      <c r="B531">
        <f>IF(RAND()&lt;0.55,1,-1)</f>
        <v/>
      </c>
      <c r="C531">
        <f>IF(B531=1,2,-1)</f>
        <v/>
      </c>
      <c r="D531" t="n">
        <v>0.01</v>
      </c>
      <c r="E531">
        <f>B531*C531*D531</f>
        <v/>
      </c>
    </row>
    <row r="532">
      <c r="A532" t="n">
        <v>531</v>
      </c>
      <c r="B532">
        <f>IF(RAND()&lt;0.55,1,-1)</f>
        <v/>
      </c>
      <c r="C532">
        <f>IF(B532=1,2,-1)</f>
        <v/>
      </c>
      <c r="D532" t="n">
        <v>0.01</v>
      </c>
      <c r="E532">
        <f>B532*C532*D532</f>
        <v/>
      </c>
    </row>
    <row r="533">
      <c r="A533" t="n">
        <v>532</v>
      </c>
      <c r="B533">
        <f>IF(RAND()&lt;0.55,1,-1)</f>
        <v/>
      </c>
      <c r="C533">
        <f>IF(B533=1,2,-1)</f>
        <v/>
      </c>
      <c r="D533" t="n">
        <v>0.01</v>
      </c>
      <c r="E533">
        <f>B533*C533*D533</f>
        <v/>
      </c>
    </row>
    <row r="534">
      <c r="A534" t="n">
        <v>533</v>
      </c>
      <c r="B534">
        <f>IF(RAND()&lt;0.55,1,-1)</f>
        <v/>
      </c>
      <c r="C534">
        <f>IF(B534=1,2,-1)</f>
        <v/>
      </c>
      <c r="D534" t="n">
        <v>0.01</v>
      </c>
      <c r="E534">
        <f>B534*C534*D534</f>
        <v/>
      </c>
    </row>
    <row r="535">
      <c r="A535" t="n">
        <v>534</v>
      </c>
      <c r="B535">
        <f>IF(RAND()&lt;0.55,1,-1)</f>
        <v/>
      </c>
      <c r="C535">
        <f>IF(B535=1,2,-1)</f>
        <v/>
      </c>
      <c r="D535" t="n">
        <v>0.01</v>
      </c>
      <c r="E535">
        <f>B535*C535*D535</f>
        <v/>
      </c>
    </row>
    <row r="536">
      <c r="A536" t="n">
        <v>535</v>
      </c>
      <c r="B536">
        <f>IF(RAND()&lt;0.55,1,-1)</f>
        <v/>
      </c>
      <c r="C536">
        <f>IF(B536=1,2,-1)</f>
        <v/>
      </c>
      <c r="D536" t="n">
        <v>0.01</v>
      </c>
      <c r="E536">
        <f>B536*C536*D536</f>
        <v/>
      </c>
    </row>
    <row r="537">
      <c r="A537" t="n">
        <v>536</v>
      </c>
      <c r="B537">
        <f>IF(RAND()&lt;0.55,1,-1)</f>
        <v/>
      </c>
      <c r="C537">
        <f>IF(B537=1,2,-1)</f>
        <v/>
      </c>
      <c r="D537" t="n">
        <v>0.01</v>
      </c>
      <c r="E537">
        <f>B537*C537*D537</f>
        <v/>
      </c>
    </row>
    <row r="538">
      <c r="A538" t="n">
        <v>537</v>
      </c>
      <c r="B538">
        <f>IF(RAND()&lt;0.55,1,-1)</f>
        <v/>
      </c>
      <c r="C538">
        <f>IF(B538=1,2,-1)</f>
        <v/>
      </c>
      <c r="D538" t="n">
        <v>0.01</v>
      </c>
      <c r="E538">
        <f>B538*C538*D538</f>
        <v/>
      </c>
    </row>
    <row r="539">
      <c r="A539" t="n">
        <v>538</v>
      </c>
      <c r="B539">
        <f>IF(RAND()&lt;0.55,1,-1)</f>
        <v/>
      </c>
      <c r="C539">
        <f>IF(B539=1,2,-1)</f>
        <v/>
      </c>
      <c r="D539" t="n">
        <v>0.01</v>
      </c>
      <c r="E539">
        <f>B539*C539*D539</f>
        <v/>
      </c>
    </row>
    <row r="540">
      <c r="A540" t="n">
        <v>539</v>
      </c>
      <c r="B540">
        <f>IF(RAND()&lt;0.55,1,-1)</f>
        <v/>
      </c>
      <c r="C540">
        <f>IF(B540=1,2,-1)</f>
        <v/>
      </c>
      <c r="D540" t="n">
        <v>0.01</v>
      </c>
      <c r="E540">
        <f>B540*C540*D540</f>
        <v/>
      </c>
    </row>
    <row r="541">
      <c r="A541" t="n">
        <v>540</v>
      </c>
      <c r="B541">
        <f>IF(RAND()&lt;0.55,1,-1)</f>
        <v/>
      </c>
      <c r="C541">
        <f>IF(B541=1,2,-1)</f>
        <v/>
      </c>
      <c r="D541" t="n">
        <v>0.01</v>
      </c>
      <c r="E541">
        <f>B541*C541*D541</f>
        <v/>
      </c>
    </row>
    <row r="542">
      <c r="A542" t="n">
        <v>541</v>
      </c>
      <c r="B542">
        <f>IF(RAND()&lt;0.55,1,-1)</f>
        <v/>
      </c>
      <c r="C542">
        <f>IF(B542=1,2,-1)</f>
        <v/>
      </c>
      <c r="D542" t="n">
        <v>0.01</v>
      </c>
      <c r="E542">
        <f>B542*C542*D542</f>
        <v/>
      </c>
    </row>
    <row r="543">
      <c r="A543" t="n">
        <v>542</v>
      </c>
      <c r="B543">
        <f>IF(RAND()&lt;0.55,1,-1)</f>
        <v/>
      </c>
      <c r="C543">
        <f>IF(B543=1,2,-1)</f>
        <v/>
      </c>
      <c r="D543" t="n">
        <v>0.01</v>
      </c>
      <c r="E543">
        <f>B543*C543*D543</f>
        <v/>
      </c>
    </row>
    <row r="544">
      <c r="A544" t="n">
        <v>543</v>
      </c>
      <c r="B544">
        <f>IF(RAND()&lt;0.55,1,-1)</f>
        <v/>
      </c>
      <c r="C544">
        <f>IF(B544=1,2,-1)</f>
        <v/>
      </c>
      <c r="D544" t="n">
        <v>0.01</v>
      </c>
      <c r="E544">
        <f>B544*C544*D544</f>
        <v/>
      </c>
    </row>
    <row r="545">
      <c r="A545" t="n">
        <v>544</v>
      </c>
      <c r="B545">
        <f>IF(RAND()&lt;0.55,1,-1)</f>
        <v/>
      </c>
      <c r="C545">
        <f>IF(B545=1,2,-1)</f>
        <v/>
      </c>
      <c r="D545" t="n">
        <v>0.01</v>
      </c>
      <c r="E545">
        <f>B545*C545*D545</f>
        <v/>
      </c>
    </row>
    <row r="546">
      <c r="A546" t="n">
        <v>545</v>
      </c>
      <c r="B546">
        <f>IF(RAND()&lt;0.55,1,-1)</f>
        <v/>
      </c>
      <c r="C546">
        <f>IF(B546=1,2,-1)</f>
        <v/>
      </c>
      <c r="D546" t="n">
        <v>0.01</v>
      </c>
      <c r="E546">
        <f>B546*C546*D546</f>
        <v/>
      </c>
    </row>
    <row r="547">
      <c r="A547" t="n">
        <v>546</v>
      </c>
      <c r="B547">
        <f>IF(RAND()&lt;0.55,1,-1)</f>
        <v/>
      </c>
      <c r="C547">
        <f>IF(B547=1,2,-1)</f>
        <v/>
      </c>
      <c r="D547" t="n">
        <v>0.01</v>
      </c>
      <c r="E547">
        <f>B547*C547*D547</f>
        <v/>
      </c>
    </row>
    <row r="548">
      <c r="A548" t="n">
        <v>547</v>
      </c>
      <c r="B548">
        <f>IF(RAND()&lt;0.55,1,-1)</f>
        <v/>
      </c>
      <c r="C548">
        <f>IF(B548=1,2,-1)</f>
        <v/>
      </c>
      <c r="D548" t="n">
        <v>0.01</v>
      </c>
      <c r="E548">
        <f>B548*C548*D548</f>
        <v/>
      </c>
    </row>
    <row r="549">
      <c r="A549" t="n">
        <v>548</v>
      </c>
      <c r="B549">
        <f>IF(RAND()&lt;0.55,1,-1)</f>
        <v/>
      </c>
      <c r="C549">
        <f>IF(B549=1,2,-1)</f>
        <v/>
      </c>
      <c r="D549" t="n">
        <v>0.01</v>
      </c>
      <c r="E549">
        <f>B549*C549*D549</f>
        <v/>
      </c>
    </row>
    <row r="550">
      <c r="A550" t="n">
        <v>549</v>
      </c>
      <c r="B550">
        <f>IF(RAND()&lt;0.55,1,-1)</f>
        <v/>
      </c>
      <c r="C550">
        <f>IF(B550=1,2,-1)</f>
        <v/>
      </c>
      <c r="D550" t="n">
        <v>0.01</v>
      </c>
      <c r="E550">
        <f>B550*C550*D550</f>
        <v/>
      </c>
    </row>
    <row r="551">
      <c r="A551" t="n">
        <v>550</v>
      </c>
      <c r="B551">
        <f>IF(RAND()&lt;0.55,1,-1)</f>
        <v/>
      </c>
      <c r="C551">
        <f>IF(B551=1,2,-1)</f>
        <v/>
      </c>
      <c r="D551" t="n">
        <v>0.01</v>
      </c>
      <c r="E551">
        <f>B551*C551*D551</f>
        <v/>
      </c>
    </row>
    <row r="552">
      <c r="A552" t="n">
        <v>551</v>
      </c>
      <c r="B552">
        <f>IF(RAND()&lt;0.55,1,-1)</f>
        <v/>
      </c>
      <c r="C552">
        <f>IF(B552=1,2,-1)</f>
        <v/>
      </c>
      <c r="D552" t="n">
        <v>0.01</v>
      </c>
      <c r="E552">
        <f>B552*C552*D552</f>
        <v/>
      </c>
    </row>
    <row r="553">
      <c r="A553" t="n">
        <v>552</v>
      </c>
      <c r="B553">
        <f>IF(RAND()&lt;0.55,1,-1)</f>
        <v/>
      </c>
      <c r="C553">
        <f>IF(B553=1,2,-1)</f>
        <v/>
      </c>
      <c r="D553" t="n">
        <v>0.01</v>
      </c>
      <c r="E553">
        <f>B553*C553*D553</f>
        <v/>
      </c>
    </row>
    <row r="554">
      <c r="A554" t="n">
        <v>553</v>
      </c>
      <c r="B554">
        <f>IF(RAND()&lt;0.55,1,-1)</f>
        <v/>
      </c>
      <c r="C554">
        <f>IF(B554=1,2,-1)</f>
        <v/>
      </c>
      <c r="D554" t="n">
        <v>0.01</v>
      </c>
      <c r="E554">
        <f>B554*C554*D554</f>
        <v/>
      </c>
    </row>
    <row r="555">
      <c r="A555" t="n">
        <v>554</v>
      </c>
      <c r="B555">
        <f>IF(RAND()&lt;0.55,1,-1)</f>
        <v/>
      </c>
      <c r="C555">
        <f>IF(B555=1,2,-1)</f>
        <v/>
      </c>
      <c r="D555" t="n">
        <v>0.01</v>
      </c>
      <c r="E555">
        <f>B555*C555*D555</f>
        <v/>
      </c>
    </row>
    <row r="556">
      <c r="A556" t="n">
        <v>555</v>
      </c>
      <c r="B556">
        <f>IF(RAND()&lt;0.55,1,-1)</f>
        <v/>
      </c>
      <c r="C556">
        <f>IF(B556=1,2,-1)</f>
        <v/>
      </c>
      <c r="D556" t="n">
        <v>0.01</v>
      </c>
      <c r="E556">
        <f>B556*C556*D556</f>
        <v/>
      </c>
    </row>
    <row r="557">
      <c r="A557" t="n">
        <v>556</v>
      </c>
      <c r="B557">
        <f>IF(RAND()&lt;0.55,1,-1)</f>
        <v/>
      </c>
      <c r="C557">
        <f>IF(B557=1,2,-1)</f>
        <v/>
      </c>
      <c r="D557" t="n">
        <v>0.01</v>
      </c>
      <c r="E557">
        <f>B557*C557*D557</f>
        <v/>
      </c>
    </row>
    <row r="558">
      <c r="A558" t="n">
        <v>557</v>
      </c>
      <c r="B558">
        <f>IF(RAND()&lt;0.55,1,-1)</f>
        <v/>
      </c>
      <c r="C558">
        <f>IF(B558=1,2,-1)</f>
        <v/>
      </c>
      <c r="D558" t="n">
        <v>0.01</v>
      </c>
      <c r="E558">
        <f>B558*C558*D558</f>
        <v/>
      </c>
    </row>
    <row r="559">
      <c r="A559" t="n">
        <v>558</v>
      </c>
      <c r="B559">
        <f>IF(RAND()&lt;0.55,1,-1)</f>
        <v/>
      </c>
      <c r="C559">
        <f>IF(B559=1,2,-1)</f>
        <v/>
      </c>
      <c r="D559" t="n">
        <v>0.01</v>
      </c>
      <c r="E559">
        <f>B559*C559*D559</f>
        <v/>
      </c>
    </row>
    <row r="560">
      <c r="A560" t="n">
        <v>559</v>
      </c>
      <c r="B560">
        <f>IF(RAND()&lt;0.55,1,-1)</f>
        <v/>
      </c>
      <c r="C560">
        <f>IF(B560=1,2,-1)</f>
        <v/>
      </c>
      <c r="D560" t="n">
        <v>0.01</v>
      </c>
      <c r="E560">
        <f>B560*C560*D560</f>
        <v/>
      </c>
    </row>
    <row r="561">
      <c r="A561" t="n">
        <v>560</v>
      </c>
      <c r="B561">
        <f>IF(RAND()&lt;0.55,1,-1)</f>
        <v/>
      </c>
      <c r="C561">
        <f>IF(B561=1,2,-1)</f>
        <v/>
      </c>
      <c r="D561" t="n">
        <v>0.01</v>
      </c>
      <c r="E561">
        <f>B561*C561*D561</f>
        <v/>
      </c>
    </row>
    <row r="562">
      <c r="A562" t="n">
        <v>561</v>
      </c>
      <c r="B562">
        <f>IF(RAND()&lt;0.55,1,-1)</f>
        <v/>
      </c>
      <c r="C562">
        <f>IF(B562=1,2,-1)</f>
        <v/>
      </c>
      <c r="D562" t="n">
        <v>0.01</v>
      </c>
      <c r="E562">
        <f>B562*C562*D562</f>
        <v/>
      </c>
    </row>
    <row r="563">
      <c r="A563" t="n">
        <v>562</v>
      </c>
      <c r="B563">
        <f>IF(RAND()&lt;0.55,1,-1)</f>
        <v/>
      </c>
      <c r="C563">
        <f>IF(B563=1,2,-1)</f>
        <v/>
      </c>
      <c r="D563" t="n">
        <v>0.01</v>
      </c>
      <c r="E563">
        <f>B563*C563*D563</f>
        <v/>
      </c>
    </row>
    <row r="564">
      <c r="A564" t="n">
        <v>563</v>
      </c>
      <c r="B564">
        <f>IF(RAND()&lt;0.55,1,-1)</f>
        <v/>
      </c>
      <c r="C564">
        <f>IF(B564=1,2,-1)</f>
        <v/>
      </c>
      <c r="D564" t="n">
        <v>0.01</v>
      </c>
      <c r="E564">
        <f>B564*C564*D564</f>
        <v/>
      </c>
    </row>
    <row r="565">
      <c r="A565" t="n">
        <v>564</v>
      </c>
      <c r="B565">
        <f>IF(RAND()&lt;0.55,1,-1)</f>
        <v/>
      </c>
      <c r="C565">
        <f>IF(B565=1,2,-1)</f>
        <v/>
      </c>
      <c r="D565" t="n">
        <v>0.01</v>
      </c>
      <c r="E565">
        <f>B565*C565*D565</f>
        <v/>
      </c>
    </row>
    <row r="566">
      <c r="A566" t="n">
        <v>565</v>
      </c>
      <c r="B566">
        <f>IF(RAND()&lt;0.55,1,-1)</f>
        <v/>
      </c>
      <c r="C566">
        <f>IF(B566=1,2,-1)</f>
        <v/>
      </c>
      <c r="D566" t="n">
        <v>0.01</v>
      </c>
      <c r="E566">
        <f>B566*C566*D566</f>
        <v/>
      </c>
    </row>
    <row r="567">
      <c r="A567" t="n">
        <v>566</v>
      </c>
      <c r="B567">
        <f>IF(RAND()&lt;0.55,1,-1)</f>
        <v/>
      </c>
      <c r="C567">
        <f>IF(B567=1,2,-1)</f>
        <v/>
      </c>
      <c r="D567" t="n">
        <v>0.01</v>
      </c>
      <c r="E567">
        <f>B567*C567*D567</f>
        <v/>
      </c>
    </row>
    <row r="568">
      <c r="A568" t="n">
        <v>567</v>
      </c>
      <c r="B568">
        <f>IF(RAND()&lt;0.55,1,-1)</f>
        <v/>
      </c>
      <c r="C568">
        <f>IF(B568=1,2,-1)</f>
        <v/>
      </c>
      <c r="D568" t="n">
        <v>0.01</v>
      </c>
      <c r="E568">
        <f>B568*C568*D568</f>
        <v/>
      </c>
    </row>
    <row r="569">
      <c r="A569" t="n">
        <v>568</v>
      </c>
      <c r="B569">
        <f>IF(RAND()&lt;0.55,1,-1)</f>
        <v/>
      </c>
      <c r="C569">
        <f>IF(B569=1,2,-1)</f>
        <v/>
      </c>
      <c r="D569" t="n">
        <v>0.01</v>
      </c>
      <c r="E569">
        <f>B569*C569*D569</f>
        <v/>
      </c>
    </row>
    <row r="570">
      <c r="A570" t="n">
        <v>569</v>
      </c>
      <c r="B570">
        <f>IF(RAND()&lt;0.55,1,-1)</f>
        <v/>
      </c>
      <c r="C570">
        <f>IF(B570=1,2,-1)</f>
        <v/>
      </c>
      <c r="D570" t="n">
        <v>0.01</v>
      </c>
      <c r="E570">
        <f>B570*C570*D570</f>
        <v/>
      </c>
    </row>
    <row r="571">
      <c r="A571" t="n">
        <v>570</v>
      </c>
      <c r="B571">
        <f>IF(RAND()&lt;0.55,1,-1)</f>
        <v/>
      </c>
      <c r="C571">
        <f>IF(B571=1,2,-1)</f>
        <v/>
      </c>
      <c r="D571" t="n">
        <v>0.01</v>
      </c>
      <c r="E571">
        <f>B571*C571*D571</f>
        <v/>
      </c>
    </row>
    <row r="572">
      <c r="A572" t="n">
        <v>571</v>
      </c>
      <c r="B572">
        <f>IF(RAND()&lt;0.55,1,-1)</f>
        <v/>
      </c>
      <c r="C572">
        <f>IF(B572=1,2,-1)</f>
        <v/>
      </c>
      <c r="D572" t="n">
        <v>0.01</v>
      </c>
      <c r="E572">
        <f>B572*C572*D572</f>
        <v/>
      </c>
    </row>
    <row r="573">
      <c r="A573" t="n">
        <v>572</v>
      </c>
      <c r="B573">
        <f>IF(RAND()&lt;0.55,1,-1)</f>
        <v/>
      </c>
      <c r="C573">
        <f>IF(B573=1,2,-1)</f>
        <v/>
      </c>
      <c r="D573" t="n">
        <v>0.01</v>
      </c>
      <c r="E573">
        <f>B573*C573*D573</f>
        <v/>
      </c>
    </row>
    <row r="574">
      <c r="A574" t="n">
        <v>573</v>
      </c>
      <c r="B574">
        <f>IF(RAND()&lt;0.55,1,-1)</f>
        <v/>
      </c>
      <c r="C574">
        <f>IF(B574=1,2,-1)</f>
        <v/>
      </c>
      <c r="D574" t="n">
        <v>0.01</v>
      </c>
      <c r="E574">
        <f>B574*C574*D574</f>
        <v/>
      </c>
    </row>
    <row r="575">
      <c r="A575" t="n">
        <v>574</v>
      </c>
      <c r="B575">
        <f>IF(RAND()&lt;0.55,1,-1)</f>
        <v/>
      </c>
      <c r="C575">
        <f>IF(B575=1,2,-1)</f>
        <v/>
      </c>
      <c r="D575" t="n">
        <v>0.01</v>
      </c>
      <c r="E575">
        <f>B575*C575*D575</f>
        <v/>
      </c>
    </row>
    <row r="576">
      <c r="A576" t="n">
        <v>575</v>
      </c>
      <c r="B576">
        <f>IF(RAND()&lt;0.55,1,-1)</f>
        <v/>
      </c>
      <c r="C576">
        <f>IF(B576=1,2,-1)</f>
        <v/>
      </c>
      <c r="D576" t="n">
        <v>0.01</v>
      </c>
      <c r="E576">
        <f>B576*C576*D576</f>
        <v/>
      </c>
    </row>
    <row r="577">
      <c r="A577" t="n">
        <v>576</v>
      </c>
      <c r="B577">
        <f>IF(RAND()&lt;0.55,1,-1)</f>
        <v/>
      </c>
      <c r="C577">
        <f>IF(B577=1,2,-1)</f>
        <v/>
      </c>
      <c r="D577" t="n">
        <v>0.01</v>
      </c>
      <c r="E577">
        <f>B577*C577*D577</f>
        <v/>
      </c>
    </row>
    <row r="578">
      <c r="A578" t="n">
        <v>577</v>
      </c>
      <c r="B578">
        <f>IF(RAND()&lt;0.55,1,-1)</f>
        <v/>
      </c>
      <c r="C578">
        <f>IF(B578=1,2,-1)</f>
        <v/>
      </c>
      <c r="D578" t="n">
        <v>0.01</v>
      </c>
      <c r="E578">
        <f>B578*C578*D578</f>
        <v/>
      </c>
    </row>
    <row r="579">
      <c r="A579" t="n">
        <v>578</v>
      </c>
      <c r="B579">
        <f>IF(RAND()&lt;0.55,1,-1)</f>
        <v/>
      </c>
      <c r="C579">
        <f>IF(B579=1,2,-1)</f>
        <v/>
      </c>
      <c r="D579" t="n">
        <v>0.01</v>
      </c>
      <c r="E579">
        <f>B579*C579*D579</f>
        <v/>
      </c>
    </row>
    <row r="580">
      <c r="A580" t="n">
        <v>579</v>
      </c>
      <c r="B580">
        <f>IF(RAND()&lt;0.55,1,-1)</f>
        <v/>
      </c>
      <c r="C580">
        <f>IF(B580=1,2,-1)</f>
        <v/>
      </c>
      <c r="D580" t="n">
        <v>0.01</v>
      </c>
      <c r="E580">
        <f>B580*C580*D580</f>
        <v/>
      </c>
    </row>
    <row r="581">
      <c r="A581" t="n">
        <v>580</v>
      </c>
      <c r="B581">
        <f>IF(RAND()&lt;0.55,1,-1)</f>
        <v/>
      </c>
      <c r="C581">
        <f>IF(B581=1,2,-1)</f>
        <v/>
      </c>
      <c r="D581" t="n">
        <v>0.01</v>
      </c>
      <c r="E581">
        <f>B581*C581*D581</f>
        <v/>
      </c>
    </row>
    <row r="582">
      <c r="A582" t="n">
        <v>581</v>
      </c>
      <c r="B582">
        <f>IF(RAND()&lt;0.55,1,-1)</f>
        <v/>
      </c>
      <c r="C582">
        <f>IF(B582=1,2,-1)</f>
        <v/>
      </c>
      <c r="D582" t="n">
        <v>0.01</v>
      </c>
      <c r="E582">
        <f>B582*C582*D582</f>
        <v/>
      </c>
    </row>
    <row r="583">
      <c r="A583" t="n">
        <v>582</v>
      </c>
      <c r="B583">
        <f>IF(RAND()&lt;0.55,1,-1)</f>
        <v/>
      </c>
      <c r="C583">
        <f>IF(B583=1,2,-1)</f>
        <v/>
      </c>
      <c r="D583" t="n">
        <v>0.01</v>
      </c>
      <c r="E583">
        <f>B583*C583*D583</f>
        <v/>
      </c>
    </row>
    <row r="584">
      <c r="A584" t="n">
        <v>583</v>
      </c>
      <c r="B584">
        <f>IF(RAND()&lt;0.55,1,-1)</f>
        <v/>
      </c>
      <c r="C584">
        <f>IF(B584=1,2,-1)</f>
        <v/>
      </c>
      <c r="D584" t="n">
        <v>0.01</v>
      </c>
      <c r="E584">
        <f>B584*C584*D584</f>
        <v/>
      </c>
    </row>
    <row r="585">
      <c r="A585" t="n">
        <v>584</v>
      </c>
      <c r="B585">
        <f>IF(RAND()&lt;0.55,1,-1)</f>
        <v/>
      </c>
      <c r="C585">
        <f>IF(B585=1,2,-1)</f>
        <v/>
      </c>
      <c r="D585" t="n">
        <v>0.01</v>
      </c>
      <c r="E585">
        <f>B585*C585*D585</f>
        <v/>
      </c>
    </row>
    <row r="586">
      <c r="A586" t="n">
        <v>585</v>
      </c>
      <c r="B586">
        <f>IF(RAND()&lt;0.55,1,-1)</f>
        <v/>
      </c>
      <c r="C586">
        <f>IF(B586=1,2,-1)</f>
        <v/>
      </c>
      <c r="D586" t="n">
        <v>0.01</v>
      </c>
      <c r="E586">
        <f>B586*C586*D586</f>
        <v/>
      </c>
    </row>
    <row r="587">
      <c r="A587" t="n">
        <v>586</v>
      </c>
      <c r="B587">
        <f>IF(RAND()&lt;0.55,1,-1)</f>
        <v/>
      </c>
      <c r="C587">
        <f>IF(B587=1,2,-1)</f>
        <v/>
      </c>
      <c r="D587" t="n">
        <v>0.01</v>
      </c>
      <c r="E587">
        <f>B587*C587*D587</f>
        <v/>
      </c>
    </row>
    <row r="588">
      <c r="A588" t="n">
        <v>587</v>
      </c>
      <c r="B588">
        <f>IF(RAND()&lt;0.55,1,-1)</f>
        <v/>
      </c>
      <c r="C588">
        <f>IF(B588=1,2,-1)</f>
        <v/>
      </c>
      <c r="D588" t="n">
        <v>0.01</v>
      </c>
      <c r="E588">
        <f>B588*C588*D588</f>
        <v/>
      </c>
    </row>
    <row r="589">
      <c r="A589" t="n">
        <v>588</v>
      </c>
      <c r="B589">
        <f>IF(RAND()&lt;0.55,1,-1)</f>
        <v/>
      </c>
      <c r="C589">
        <f>IF(B589=1,2,-1)</f>
        <v/>
      </c>
      <c r="D589" t="n">
        <v>0.01</v>
      </c>
      <c r="E589">
        <f>B589*C589*D589</f>
        <v/>
      </c>
    </row>
    <row r="590">
      <c r="A590" t="n">
        <v>589</v>
      </c>
      <c r="B590">
        <f>IF(RAND()&lt;0.55,1,-1)</f>
        <v/>
      </c>
      <c r="C590">
        <f>IF(B590=1,2,-1)</f>
        <v/>
      </c>
      <c r="D590" t="n">
        <v>0.01</v>
      </c>
      <c r="E590">
        <f>B590*C590*D590</f>
        <v/>
      </c>
    </row>
    <row r="591">
      <c r="A591" t="n">
        <v>590</v>
      </c>
      <c r="B591">
        <f>IF(RAND()&lt;0.55,1,-1)</f>
        <v/>
      </c>
      <c r="C591">
        <f>IF(B591=1,2,-1)</f>
        <v/>
      </c>
      <c r="D591" t="n">
        <v>0.01</v>
      </c>
      <c r="E591">
        <f>B591*C591*D591</f>
        <v/>
      </c>
    </row>
    <row r="592">
      <c r="A592" t="n">
        <v>591</v>
      </c>
      <c r="B592">
        <f>IF(RAND()&lt;0.55,1,-1)</f>
        <v/>
      </c>
      <c r="C592">
        <f>IF(B592=1,2,-1)</f>
        <v/>
      </c>
      <c r="D592" t="n">
        <v>0.01</v>
      </c>
      <c r="E592">
        <f>B592*C592*D592</f>
        <v/>
      </c>
    </row>
    <row r="593">
      <c r="A593" t="n">
        <v>592</v>
      </c>
      <c r="B593">
        <f>IF(RAND()&lt;0.55,1,-1)</f>
        <v/>
      </c>
      <c r="C593">
        <f>IF(B593=1,2,-1)</f>
        <v/>
      </c>
      <c r="D593" t="n">
        <v>0.01</v>
      </c>
      <c r="E593">
        <f>B593*C593*D593</f>
        <v/>
      </c>
    </row>
    <row r="594">
      <c r="A594" t="n">
        <v>593</v>
      </c>
      <c r="B594">
        <f>IF(RAND()&lt;0.55,1,-1)</f>
        <v/>
      </c>
      <c r="C594">
        <f>IF(B594=1,2,-1)</f>
        <v/>
      </c>
      <c r="D594" t="n">
        <v>0.01</v>
      </c>
      <c r="E594">
        <f>B594*C594*D594</f>
        <v/>
      </c>
    </row>
    <row r="595">
      <c r="A595" t="n">
        <v>594</v>
      </c>
      <c r="B595">
        <f>IF(RAND()&lt;0.55,1,-1)</f>
        <v/>
      </c>
      <c r="C595">
        <f>IF(B595=1,2,-1)</f>
        <v/>
      </c>
      <c r="D595" t="n">
        <v>0.01</v>
      </c>
      <c r="E595">
        <f>B595*C595*D595</f>
        <v/>
      </c>
    </row>
    <row r="596">
      <c r="A596" t="n">
        <v>595</v>
      </c>
      <c r="B596">
        <f>IF(RAND()&lt;0.55,1,-1)</f>
        <v/>
      </c>
      <c r="C596">
        <f>IF(B596=1,2,-1)</f>
        <v/>
      </c>
      <c r="D596" t="n">
        <v>0.01</v>
      </c>
      <c r="E596">
        <f>B596*C596*D596</f>
        <v/>
      </c>
    </row>
    <row r="597">
      <c r="A597" t="n">
        <v>596</v>
      </c>
      <c r="B597">
        <f>IF(RAND()&lt;0.55,1,-1)</f>
        <v/>
      </c>
      <c r="C597">
        <f>IF(B597=1,2,-1)</f>
        <v/>
      </c>
      <c r="D597" t="n">
        <v>0.01</v>
      </c>
      <c r="E597">
        <f>B597*C597*D597</f>
        <v/>
      </c>
    </row>
    <row r="598">
      <c r="A598" t="n">
        <v>597</v>
      </c>
      <c r="B598">
        <f>IF(RAND()&lt;0.55,1,-1)</f>
        <v/>
      </c>
      <c r="C598">
        <f>IF(B598=1,2,-1)</f>
        <v/>
      </c>
      <c r="D598" t="n">
        <v>0.01</v>
      </c>
      <c r="E598">
        <f>B598*C598*D598</f>
        <v/>
      </c>
    </row>
    <row r="599">
      <c r="A599" t="n">
        <v>598</v>
      </c>
      <c r="B599">
        <f>IF(RAND()&lt;0.55,1,-1)</f>
        <v/>
      </c>
      <c r="C599">
        <f>IF(B599=1,2,-1)</f>
        <v/>
      </c>
      <c r="D599" t="n">
        <v>0.01</v>
      </c>
      <c r="E599">
        <f>B599*C599*D599</f>
        <v/>
      </c>
    </row>
    <row r="600">
      <c r="A600" t="n">
        <v>599</v>
      </c>
      <c r="B600">
        <f>IF(RAND()&lt;0.55,1,-1)</f>
        <v/>
      </c>
      <c r="C600">
        <f>IF(B600=1,2,-1)</f>
        <v/>
      </c>
      <c r="D600" t="n">
        <v>0.01</v>
      </c>
      <c r="E600">
        <f>B600*C600*D600</f>
        <v/>
      </c>
    </row>
    <row r="601">
      <c r="A601" t="n">
        <v>600</v>
      </c>
      <c r="B601">
        <f>IF(RAND()&lt;0.55,1,-1)</f>
        <v/>
      </c>
      <c r="C601">
        <f>IF(B601=1,2,-1)</f>
        <v/>
      </c>
      <c r="D601" t="n">
        <v>0.01</v>
      </c>
      <c r="E601">
        <f>B601*C601*D601</f>
        <v/>
      </c>
    </row>
    <row r="602">
      <c r="A602" t="n">
        <v>601</v>
      </c>
      <c r="B602">
        <f>IF(RAND()&lt;0.55,1,-1)</f>
        <v/>
      </c>
      <c r="C602">
        <f>IF(B602=1,2,-1)</f>
        <v/>
      </c>
      <c r="D602" t="n">
        <v>0.01</v>
      </c>
      <c r="E602">
        <f>B602*C602*D602</f>
        <v/>
      </c>
    </row>
    <row r="603">
      <c r="A603" t="n">
        <v>602</v>
      </c>
      <c r="B603">
        <f>IF(RAND()&lt;0.55,1,-1)</f>
        <v/>
      </c>
      <c r="C603">
        <f>IF(B603=1,2,-1)</f>
        <v/>
      </c>
      <c r="D603" t="n">
        <v>0.01</v>
      </c>
      <c r="E603">
        <f>B603*C603*D603</f>
        <v/>
      </c>
    </row>
    <row r="604">
      <c r="A604" t="n">
        <v>603</v>
      </c>
      <c r="B604">
        <f>IF(RAND()&lt;0.55,1,-1)</f>
        <v/>
      </c>
      <c r="C604">
        <f>IF(B604=1,2,-1)</f>
        <v/>
      </c>
      <c r="D604" t="n">
        <v>0.01</v>
      </c>
      <c r="E604">
        <f>B604*C604*D604</f>
        <v/>
      </c>
    </row>
    <row r="605">
      <c r="A605" t="n">
        <v>604</v>
      </c>
      <c r="B605">
        <f>IF(RAND()&lt;0.55,1,-1)</f>
        <v/>
      </c>
      <c r="C605">
        <f>IF(B605=1,2,-1)</f>
        <v/>
      </c>
      <c r="D605" t="n">
        <v>0.01</v>
      </c>
      <c r="E605">
        <f>B605*C605*D605</f>
        <v/>
      </c>
    </row>
    <row r="606">
      <c r="A606" t="n">
        <v>605</v>
      </c>
      <c r="B606">
        <f>IF(RAND()&lt;0.55,1,-1)</f>
        <v/>
      </c>
      <c r="C606">
        <f>IF(B606=1,2,-1)</f>
        <v/>
      </c>
      <c r="D606" t="n">
        <v>0.01</v>
      </c>
      <c r="E606">
        <f>B606*C606*D606</f>
        <v/>
      </c>
    </row>
    <row r="607">
      <c r="A607" t="n">
        <v>606</v>
      </c>
      <c r="B607">
        <f>IF(RAND()&lt;0.55,1,-1)</f>
        <v/>
      </c>
      <c r="C607">
        <f>IF(B607=1,2,-1)</f>
        <v/>
      </c>
      <c r="D607" t="n">
        <v>0.01</v>
      </c>
      <c r="E607">
        <f>B607*C607*D607</f>
        <v/>
      </c>
    </row>
    <row r="608">
      <c r="A608" t="n">
        <v>607</v>
      </c>
      <c r="B608">
        <f>IF(RAND()&lt;0.55,1,-1)</f>
        <v/>
      </c>
      <c r="C608">
        <f>IF(B608=1,2,-1)</f>
        <v/>
      </c>
      <c r="D608" t="n">
        <v>0.01</v>
      </c>
      <c r="E608">
        <f>B608*C608*D608</f>
        <v/>
      </c>
    </row>
    <row r="609">
      <c r="A609" t="n">
        <v>608</v>
      </c>
      <c r="B609">
        <f>IF(RAND()&lt;0.55,1,-1)</f>
        <v/>
      </c>
      <c r="C609">
        <f>IF(B609=1,2,-1)</f>
        <v/>
      </c>
      <c r="D609" t="n">
        <v>0.01</v>
      </c>
      <c r="E609">
        <f>B609*C609*D609</f>
        <v/>
      </c>
    </row>
    <row r="610">
      <c r="A610" t="n">
        <v>609</v>
      </c>
      <c r="B610">
        <f>IF(RAND()&lt;0.55,1,-1)</f>
        <v/>
      </c>
      <c r="C610">
        <f>IF(B610=1,2,-1)</f>
        <v/>
      </c>
      <c r="D610" t="n">
        <v>0.01</v>
      </c>
      <c r="E610">
        <f>B610*C610*D610</f>
        <v/>
      </c>
    </row>
    <row r="611">
      <c r="A611" t="n">
        <v>610</v>
      </c>
      <c r="B611">
        <f>IF(RAND()&lt;0.55,1,-1)</f>
        <v/>
      </c>
      <c r="C611">
        <f>IF(B611=1,2,-1)</f>
        <v/>
      </c>
      <c r="D611" t="n">
        <v>0.01</v>
      </c>
      <c r="E611">
        <f>B611*C611*D611</f>
        <v/>
      </c>
    </row>
    <row r="612">
      <c r="A612" t="n">
        <v>611</v>
      </c>
      <c r="B612">
        <f>IF(RAND()&lt;0.55,1,-1)</f>
        <v/>
      </c>
      <c r="C612">
        <f>IF(B612=1,2,-1)</f>
        <v/>
      </c>
      <c r="D612" t="n">
        <v>0.01</v>
      </c>
      <c r="E612">
        <f>B612*C612*D612</f>
        <v/>
      </c>
    </row>
    <row r="613">
      <c r="A613" t="n">
        <v>612</v>
      </c>
      <c r="B613">
        <f>IF(RAND()&lt;0.55,1,-1)</f>
        <v/>
      </c>
      <c r="C613">
        <f>IF(B613=1,2,-1)</f>
        <v/>
      </c>
      <c r="D613" t="n">
        <v>0.01</v>
      </c>
      <c r="E613">
        <f>B613*C613*D613</f>
        <v/>
      </c>
    </row>
    <row r="614">
      <c r="A614" t="n">
        <v>613</v>
      </c>
      <c r="B614">
        <f>IF(RAND()&lt;0.55,1,-1)</f>
        <v/>
      </c>
      <c r="C614">
        <f>IF(B614=1,2,-1)</f>
        <v/>
      </c>
      <c r="D614" t="n">
        <v>0.01</v>
      </c>
      <c r="E614">
        <f>B614*C614*D614</f>
        <v/>
      </c>
    </row>
    <row r="615">
      <c r="A615" t="n">
        <v>614</v>
      </c>
      <c r="B615">
        <f>IF(RAND()&lt;0.55,1,-1)</f>
        <v/>
      </c>
      <c r="C615">
        <f>IF(B615=1,2,-1)</f>
        <v/>
      </c>
      <c r="D615" t="n">
        <v>0.01</v>
      </c>
      <c r="E615">
        <f>B615*C615*D615</f>
        <v/>
      </c>
    </row>
    <row r="616">
      <c r="A616" t="n">
        <v>615</v>
      </c>
      <c r="B616">
        <f>IF(RAND()&lt;0.55,1,-1)</f>
        <v/>
      </c>
      <c r="C616">
        <f>IF(B616=1,2,-1)</f>
        <v/>
      </c>
      <c r="D616" t="n">
        <v>0.01</v>
      </c>
      <c r="E616">
        <f>B616*C616*D616</f>
        <v/>
      </c>
    </row>
    <row r="617">
      <c r="A617" t="n">
        <v>616</v>
      </c>
      <c r="B617">
        <f>IF(RAND()&lt;0.55,1,-1)</f>
        <v/>
      </c>
      <c r="C617">
        <f>IF(B617=1,2,-1)</f>
        <v/>
      </c>
      <c r="D617" t="n">
        <v>0.01</v>
      </c>
      <c r="E617">
        <f>B617*C617*D617</f>
        <v/>
      </c>
    </row>
    <row r="618">
      <c r="A618" t="n">
        <v>617</v>
      </c>
      <c r="B618">
        <f>IF(RAND()&lt;0.55,1,-1)</f>
        <v/>
      </c>
      <c r="C618">
        <f>IF(B618=1,2,-1)</f>
        <v/>
      </c>
      <c r="D618" t="n">
        <v>0.01</v>
      </c>
      <c r="E618">
        <f>B618*C618*D618</f>
        <v/>
      </c>
    </row>
    <row r="619">
      <c r="A619" t="n">
        <v>618</v>
      </c>
      <c r="B619">
        <f>IF(RAND()&lt;0.55,1,-1)</f>
        <v/>
      </c>
      <c r="C619">
        <f>IF(B619=1,2,-1)</f>
        <v/>
      </c>
      <c r="D619" t="n">
        <v>0.01</v>
      </c>
      <c r="E619">
        <f>B619*C619*D619</f>
        <v/>
      </c>
    </row>
    <row r="620">
      <c r="A620" t="n">
        <v>619</v>
      </c>
      <c r="B620">
        <f>IF(RAND()&lt;0.55,1,-1)</f>
        <v/>
      </c>
      <c r="C620">
        <f>IF(B620=1,2,-1)</f>
        <v/>
      </c>
      <c r="D620" t="n">
        <v>0.01</v>
      </c>
      <c r="E620">
        <f>B620*C620*D620</f>
        <v/>
      </c>
    </row>
    <row r="621">
      <c r="A621" t="n">
        <v>620</v>
      </c>
      <c r="B621">
        <f>IF(RAND()&lt;0.55,1,-1)</f>
        <v/>
      </c>
      <c r="C621">
        <f>IF(B621=1,2,-1)</f>
        <v/>
      </c>
      <c r="D621" t="n">
        <v>0.01</v>
      </c>
      <c r="E621">
        <f>B621*C621*D621</f>
        <v/>
      </c>
    </row>
    <row r="622">
      <c r="A622" t="n">
        <v>621</v>
      </c>
      <c r="B622">
        <f>IF(RAND()&lt;0.55,1,-1)</f>
        <v/>
      </c>
      <c r="C622">
        <f>IF(B622=1,2,-1)</f>
        <v/>
      </c>
      <c r="D622" t="n">
        <v>0.01</v>
      </c>
      <c r="E622">
        <f>B622*C622*D622</f>
        <v/>
      </c>
    </row>
    <row r="623">
      <c r="A623" t="n">
        <v>622</v>
      </c>
      <c r="B623">
        <f>IF(RAND()&lt;0.55,1,-1)</f>
        <v/>
      </c>
      <c r="C623">
        <f>IF(B623=1,2,-1)</f>
        <v/>
      </c>
      <c r="D623" t="n">
        <v>0.01</v>
      </c>
      <c r="E623">
        <f>B623*C623*D623</f>
        <v/>
      </c>
    </row>
    <row r="624">
      <c r="A624" t="n">
        <v>623</v>
      </c>
      <c r="B624">
        <f>IF(RAND()&lt;0.55,1,-1)</f>
        <v/>
      </c>
      <c r="C624">
        <f>IF(B624=1,2,-1)</f>
        <v/>
      </c>
      <c r="D624" t="n">
        <v>0.01</v>
      </c>
      <c r="E624">
        <f>B624*C624*D624</f>
        <v/>
      </c>
    </row>
    <row r="625">
      <c r="A625" t="n">
        <v>624</v>
      </c>
      <c r="B625">
        <f>IF(RAND()&lt;0.55,1,-1)</f>
        <v/>
      </c>
      <c r="C625">
        <f>IF(B625=1,2,-1)</f>
        <v/>
      </c>
      <c r="D625" t="n">
        <v>0.01</v>
      </c>
      <c r="E625">
        <f>B625*C625*D625</f>
        <v/>
      </c>
    </row>
    <row r="626">
      <c r="A626" t="n">
        <v>625</v>
      </c>
      <c r="B626">
        <f>IF(RAND()&lt;0.55,1,-1)</f>
        <v/>
      </c>
      <c r="C626">
        <f>IF(B626=1,2,-1)</f>
        <v/>
      </c>
      <c r="D626" t="n">
        <v>0.01</v>
      </c>
      <c r="E626">
        <f>B626*C626*D626</f>
        <v/>
      </c>
    </row>
    <row r="627">
      <c r="A627" t="n">
        <v>626</v>
      </c>
      <c r="B627">
        <f>IF(RAND()&lt;0.55,1,-1)</f>
        <v/>
      </c>
      <c r="C627">
        <f>IF(B627=1,2,-1)</f>
        <v/>
      </c>
      <c r="D627" t="n">
        <v>0.01</v>
      </c>
      <c r="E627">
        <f>B627*C627*D627</f>
        <v/>
      </c>
    </row>
    <row r="628">
      <c r="A628" t="n">
        <v>627</v>
      </c>
      <c r="B628">
        <f>IF(RAND()&lt;0.55,1,-1)</f>
        <v/>
      </c>
      <c r="C628">
        <f>IF(B628=1,2,-1)</f>
        <v/>
      </c>
      <c r="D628" t="n">
        <v>0.01</v>
      </c>
      <c r="E628">
        <f>B628*C628*D628</f>
        <v/>
      </c>
    </row>
    <row r="629">
      <c r="A629" t="n">
        <v>628</v>
      </c>
      <c r="B629">
        <f>IF(RAND()&lt;0.55,1,-1)</f>
        <v/>
      </c>
      <c r="C629">
        <f>IF(B629=1,2,-1)</f>
        <v/>
      </c>
      <c r="D629" t="n">
        <v>0.01</v>
      </c>
      <c r="E629">
        <f>B629*C629*D629</f>
        <v/>
      </c>
    </row>
    <row r="630">
      <c r="A630" t="n">
        <v>629</v>
      </c>
      <c r="B630">
        <f>IF(RAND()&lt;0.55,1,-1)</f>
        <v/>
      </c>
      <c r="C630">
        <f>IF(B630=1,2,-1)</f>
        <v/>
      </c>
      <c r="D630" t="n">
        <v>0.01</v>
      </c>
      <c r="E630">
        <f>B630*C630*D630</f>
        <v/>
      </c>
    </row>
    <row r="631">
      <c r="A631" t="n">
        <v>630</v>
      </c>
      <c r="B631">
        <f>IF(RAND()&lt;0.55,1,-1)</f>
        <v/>
      </c>
      <c r="C631">
        <f>IF(B631=1,2,-1)</f>
        <v/>
      </c>
      <c r="D631" t="n">
        <v>0.01</v>
      </c>
      <c r="E631">
        <f>B631*C631*D631</f>
        <v/>
      </c>
    </row>
    <row r="632">
      <c r="A632" t="n">
        <v>631</v>
      </c>
      <c r="B632">
        <f>IF(RAND()&lt;0.55,1,-1)</f>
        <v/>
      </c>
      <c r="C632">
        <f>IF(B632=1,2,-1)</f>
        <v/>
      </c>
      <c r="D632" t="n">
        <v>0.01</v>
      </c>
      <c r="E632">
        <f>B632*C632*D632</f>
        <v/>
      </c>
    </row>
    <row r="633">
      <c r="A633" t="n">
        <v>632</v>
      </c>
      <c r="B633">
        <f>IF(RAND()&lt;0.55,1,-1)</f>
        <v/>
      </c>
      <c r="C633">
        <f>IF(B633=1,2,-1)</f>
        <v/>
      </c>
      <c r="D633" t="n">
        <v>0.01</v>
      </c>
      <c r="E633">
        <f>B633*C633*D633</f>
        <v/>
      </c>
    </row>
    <row r="634">
      <c r="A634" t="n">
        <v>633</v>
      </c>
      <c r="B634">
        <f>IF(RAND()&lt;0.55,1,-1)</f>
        <v/>
      </c>
      <c r="C634">
        <f>IF(B634=1,2,-1)</f>
        <v/>
      </c>
      <c r="D634" t="n">
        <v>0.01</v>
      </c>
      <c r="E634">
        <f>B634*C634*D634</f>
        <v/>
      </c>
    </row>
    <row r="635">
      <c r="A635" t="n">
        <v>634</v>
      </c>
      <c r="B635">
        <f>IF(RAND()&lt;0.55,1,-1)</f>
        <v/>
      </c>
      <c r="C635">
        <f>IF(B635=1,2,-1)</f>
        <v/>
      </c>
      <c r="D635" t="n">
        <v>0.01</v>
      </c>
      <c r="E635">
        <f>B635*C635*D635</f>
        <v/>
      </c>
    </row>
    <row r="636">
      <c r="A636" t="n">
        <v>635</v>
      </c>
      <c r="B636">
        <f>IF(RAND()&lt;0.55,1,-1)</f>
        <v/>
      </c>
      <c r="C636">
        <f>IF(B636=1,2,-1)</f>
        <v/>
      </c>
      <c r="D636" t="n">
        <v>0.01</v>
      </c>
      <c r="E636">
        <f>B636*C636*D636</f>
        <v/>
      </c>
    </row>
    <row r="637">
      <c r="A637" t="n">
        <v>636</v>
      </c>
      <c r="B637">
        <f>IF(RAND()&lt;0.55,1,-1)</f>
        <v/>
      </c>
      <c r="C637">
        <f>IF(B637=1,2,-1)</f>
        <v/>
      </c>
      <c r="D637" t="n">
        <v>0.01</v>
      </c>
      <c r="E637">
        <f>B637*C637*D637</f>
        <v/>
      </c>
    </row>
    <row r="638">
      <c r="A638" t="n">
        <v>637</v>
      </c>
      <c r="B638">
        <f>IF(RAND()&lt;0.55,1,-1)</f>
        <v/>
      </c>
      <c r="C638">
        <f>IF(B638=1,2,-1)</f>
        <v/>
      </c>
      <c r="D638" t="n">
        <v>0.01</v>
      </c>
      <c r="E638">
        <f>B638*C638*D638</f>
        <v/>
      </c>
    </row>
    <row r="639">
      <c r="A639" t="n">
        <v>638</v>
      </c>
      <c r="B639">
        <f>IF(RAND()&lt;0.55,1,-1)</f>
        <v/>
      </c>
      <c r="C639">
        <f>IF(B639=1,2,-1)</f>
        <v/>
      </c>
      <c r="D639" t="n">
        <v>0.01</v>
      </c>
      <c r="E639">
        <f>B639*C639*D639</f>
        <v/>
      </c>
    </row>
    <row r="640">
      <c r="A640" t="n">
        <v>639</v>
      </c>
      <c r="B640">
        <f>IF(RAND()&lt;0.55,1,-1)</f>
        <v/>
      </c>
      <c r="C640">
        <f>IF(B640=1,2,-1)</f>
        <v/>
      </c>
      <c r="D640" t="n">
        <v>0.01</v>
      </c>
      <c r="E640">
        <f>B640*C640*D640</f>
        <v/>
      </c>
    </row>
    <row r="641">
      <c r="A641" t="n">
        <v>640</v>
      </c>
      <c r="B641">
        <f>IF(RAND()&lt;0.55,1,-1)</f>
        <v/>
      </c>
      <c r="C641">
        <f>IF(B641=1,2,-1)</f>
        <v/>
      </c>
      <c r="D641" t="n">
        <v>0.01</v>
      </c>
      <c r="E641">
        <f>B641*C641*D641</f>
        <v/>
      </c>
    </row>
    <row r="642">
      <c r="A642" t="n">
        <v>641</v>
      </c>
      <c r="B642">
        <f>IF(RAND()&lt;0.55,1,-1)</f>
        <v/>
      </c>
      <c r="C642">
        <f>IF(B642=1,2,-1)</f>
        <v/>
      </c>
      <c r="D642" t="n">
        <v>0.01</v>
      </c>
      <c r="E642">
        <f>B642*C642*D642</f>
        <v/>
      </c>
    </row>
    <row r="643">
      <c r="A643" t="n">
        <v>642</v>
      </c>
      <c r="B643">
        <f>IF(RAND()&lt;0.55,1,-1)</f>
        <v/>
      </c>
      <c r="C643">
        <f>IF(B643=1,2,-1)</f>
        <v/>
      </c>
      <c r="D643" t="n">
        <v>0.01</v>
      </c>
      <c r="E643">
        <f>B643*C643*D643</f>
        <v/>
      </c>
    </row>
    <row r="644">
      <c r="A644" t="n">
        <v>643</v>
      </c>
      <c r="B644">
        <f>IF(RAND()&lt;0.55,1,-1)</f>
        <v/>
      </c>
      <c r="C644">
        <f>IF(B644=1,2,-1)</f>
        <v/>
      </c>
      <c r="D644" t="n">
        <v>0.01</v>
      </c>
      <c r="E644">
        <f>B644*C644*D644</f>
        <v/>
      </c>
    </row>
    <row r="645">
      <c r="A645" t="n">
        <v>644</v>
      </c>
      <c r="B645">
        <f>IF(RAND()&lt;0.55,1,-1)</f>
        <v/>
      </c>
      <c r="C645">
        <f>IF(B645=1,2,-1)</f>
        <v/>
      </c>
      <c r="D645" t="n">
        <v>0.01</v>
      </c>
      <c r="E645">
        <f>B645*C645*D645</f>
        <v/>
      </c>
    </row>
    <row r="646">
      <c r="A646" t="n">
        <v>645</v>
      </c>
      <c r="B646">
        <f>IF(RAND()&lt;0.55,1,-1)</f>
        <v/>
      </c>
      <c r="C646">
        <f>IF(B646=1,2,-1)</f>
        <v/>
      </c>
      <c r="D646" t="n">
        <v>0.01</v>
      </c>
      <c r="E646">
        <f>B646*C646*D646</f>
        <v/>
      </c>
    </row>
    <row r="647">
      <c r="A647" t="n">
        <v>646</v>
      </c>
      <c r="B647">
        <f>IF(RAND()&lt;0.55,1,-1)</f>
        <v/>
      </c>
      <c r="C647">
        <f>IF(B647=1,2,-1)</f>
        <v/>
      </c>
      <c r="D647" t="n">
        <v>0.01</v>
      </c>
      <c r="E647">
        <f>B647*C647*D647</f>
        <v/>
      </c>
    </row>
    <row r="648">
      <c r="A648" t="n">
        <v>647</v>
      </c>
      <c r="B648">
        <f>IF(RAND()&lt;0.55,1,-1)</f>
        <v/>
      </c>
      <c r="C648">
        <f>IF(B648=1,2,-1)</f>
        <v/>
      </c>
      <c r="D648" t="n">
        <v>0.01</v>
      </c>
      <c r="E648">
        <f>B648*C648*D648</f>
        <v/>
      </c>
    </row>
    <row r="649">
      <c r="A649" t="n">
        <v>648</v>
      </c>
      <c r="B649">
        <f>IF(RAND()&lt;0.55,1,-1)</f>
        <v/>
      </c>
      <c r="C649">
        <f>IF(B649=1,2,-1)</f>
        <v/>
      </c>
      <c r="D649" t="n">
        <v>0.01</v>
      </c>
      <c r="E649">
        <f>B649*C649*D649</f>
        <v/>
      </c>
    </row>
    <row r="650">
      <c r="A650" t="n">
        <v>649</v>
      </c>
      <c r="B650">
        <f>IF(RAND()&lt;0.55,1,-1)</f>
        <v/>
      </c>
      <c r="C650">
        <f>IF(B650=1,2,-1)</f>
        <v/>
      </c>
      <c r="D650" t="n">
        <v>0.01</v>
      </c>
      <c r="E650">
        <f>B650*C650*D650</f>
        <v/>
      </c>
    </row>
    <row r="651">
      <c r="A651" t="n">
        <v>650</v>
      </c>
      <c r="B651">
        <f>IF(RAND()&lt;0.55,1,-1)</f>
        <v/>
      </c>
      <c r="C651">
        <f>IF(B651=1,2,-1)</f>
        <v/>
      </c>
      <c r="D651" t="n">
        <v>0.01</v>
      </c>
      <c r="E651">
        <f>B651*C651*D651</f>
        <v/>
      </c>
    </row>
    <row r="652">
      <c r="A652" t="n">
        <v>651</v>
      </c>
      <c r="B652">
        <f>IF(RAND()&lt;0.55,1,-1)</f>
        <v/>
      </c>
      <c r="C652">
        <f>IF(B652=1,2,-1)</f>
        <v/>
      </c>
      <c r="D652" t="n">
        <v>0.01</v>
      </c>
      <c r="E652">
        <f>B652*C652*D652</f>
        <v/>
      </c>
    </row>
    <row r="653">
      <c r="A653" t="n">
        <v>652</v>
      </c>
      <c r="B653">
        <f>IF(RAND()&lt;0.55,1,-1)</f>
        <v/>
      </c>
      <c r="C653">
        <f>IF(B653=1,2,-1)</f>
        <v/>
      </c>
      <c r="D653" t="n">
        <v>0.01</v>
      </c>
      <c r="E653">
        <f>B653*C653*D653</f>
        <v/>
      </c>
    </row>
    <row r="654">
      <c r="A654" t="n">
        <v>653</v>
      </c>
      <c r="B654">
        <f>IF(RAND()&lt;0.55,1,-1)</f>
        <v/>
      </c>
      <c r="C654">
        <f>IF(B654=1,2,-1)</f>
        <v/>
      </c>
      <c r="D654" t="n">
        <v>0.01</v>
      </c>
      <c r="E654">
        <f>B654*C654*D654</f>
        <v/>
      </c>
    </row>
    <row r="655">
      <c r="A655" t="n">
        <v>654</v>
      </c>
      <c r="B655">
        <f>IF(RAND()&lt;0.55,1,-1)</f>
        <v/>
      </c>
      <c r="C655">
        <f>IF(B655=1,2,-1)</f>
        <v/>
      </c>
      <c r="D655" t="n">
        <v>0.01</v>
      </c>
      <c r="E655">
        <f>B655*C655*D655</f>
        <v/>
      </c>
    </row>
    <row r="656">
      <c r="A656" t="n">
        <v>655</v>
      </c>
      <c r="B656">
        <f>IF(RAND()&lt;0.55,1,-1)</f>
        <v/>
      </c>
      <c r="C656">
        <f>IF(B656=1,2,-1)</f>
        <v/>
      </c>
      <c r="D656" t="n">
        <v>0.01</v>
      </c>
      <c r="E656">
        <f>B656*C656*D656</f>
        <v/>
      </c>
    </row>
    <row r="657">
      <c r="A657" t="n">
        <v>656</v>
      </c>
      <c r="B657">
        <f>IF(RAND()&lt;0.55,1,-1)</f>
        <v/>
      </c>
      <c r="C657">
        <f>IF(B657=1,2,-1)</f>
        <v/>
      </c>
      <c r="D657" t="n">
        <v>0.01</v>
      </c>
      <c r="E657">
        <f>B657*C657*D657</f>
        <v/>
      </c>
    </row>
    <row r="658">
      <c r="A658" t="n">
        <v>657</v>
      </c>
      <c r="B658">
        <f>IF(RAND()&lt;0.55,1,-1)</f>
        <v/>
      </c>
      <c r="C658">
        <f>IF(B658=1,2,-1)</f>
        <v/>
      </c>
      <c r="D658" t="n">
        <v>0.01</v>
      </c>
      <c r="E658">
        <f>B658*C658*D658</f>
        <v/>
      </c>
    </row>
    <row r="659">
      <c r="A659" t="n">
        <v>658</v>
      </c>
      <c r="B659">
        <f>IF(RAND()&lt;0.55,1,-1)</f>
        <v/>
      </c>
      <c r="C659">
        <f>IF(B659=1,2,-1)</f>
        <v/>
      </c>
      <c r="D659" t="n">
        <v>0.01</v>
      </c>
      <c r="E659">
        <f>B659*C659*D659</f>
        <v/>
      </c>
    </row>
    <row r="660">
      <c r="A660" t="n">
        <v>659</v>
      </c>
      <c r="B660">
        <f>IF(RAND()&lt;0.55,1,-1)</f>
        <v/>
      </c>
      <c r="C660">
        <f>IF(B660=1,2,-1)</f>
        <v/>
      </c>
      <c r="D660" t="n">
        <v>0.01</v>
      </c>
      <c r="E660">
        <f>B660*C660*D660</f>
        <v/>
      </c>
    </row>
    <row r="661">
      <c r="A661" t="n">
        <v>660</v>
      </c>
      <c r="B661">
        <f>IF(RAND()&lt;0.55,1,-1)</f>
        <v/>
      </c>
      <c r="C661">
        <f>IF(B661=1,2,-1)</f>
        <v/>
      </c>
      <c r="D661" t="n">
        <v>0.01</v>
      </c>
      <c r="E661">
        <f>B661*C661*D661</f>
        <v/>
      </c>
    </row>
    <row r="662">
      <c r="A662" t="n">
        <v>661</v>
      </c>
      <c r="B662">
        <f>IF(RAND()&lt;0.55,1,-1)</f>
        <v/>
      </c>
      <c r="C662">
        <f>IF(B662=1,2,-1)</f>
        <v/>
      </c>
      <c r="D662" t="n">
        <v>0.01</v>
      </c>
      <c r="E662">
        <f>B662*C662*D662</f>
        <v/>
      </c>
    </row>
    <row r="663">
      <c r="A663" t="n">
        <v>662</v>
      </c>
      <c r="B663">
        <f>IF(RAND()&lt;0.55,1,-1)</f>
        <v/>
      </c>
      <c r="C663">
        <f>IF(B663=1,2,-1)</f>
        <v/>
      </c>
      <c r="D663" t="n">
        <v>0.01</v>
      </c>
      <c r="E663">
        <f>B663*C663*D663</f>
        <v/>
      </c>
    </row>
    <row r="664">
      <c r="A664" t="n">
        <v>663</v>
      </c>
      <c r="B664">
        <f>IF(RAND()&lt;0.55,1,-1)</f>
        <v/>
      </c>
      <c r="C664">
        <f>IF(B664=1,2,-1)</f>
        <v/>
      </c>
      <c r="D664" t="n">
        <v>0.01</v>
      </c>
      <c r="E664">
        <f>B664*C664*D664</f>
        <v/>
      </c>
    </row>
    <row r="665">
      <c r="A665" t="n">
        <v>664</v>
      </c>
      <c r="B665">
        <f>IF(RAND()&lt;0.55,1,-1)</f>
        <v/>
      </c>
      <c r="C665">
        <f>IF(B665=1,2,-1)</f>
        <v/>
      </c>
      <c r="D665" t="n">
        <v>0.01</v>
      </c>
      <c r="E665">
        <f>B665*C665*D665</f>
        <v/>
      </c>
    </row>
    <row r="666">
      <c r="A666" t="n">
        <v>665</v>
      </c>
      <c r="B666">
        <f>IF(RAND()&lt;0.55,1,-1)</f>
        <v/>
      </c>
      <c r="C666">
        <f>IF(B666=1,2,-1)</f>
        <v/>
      </c>
      <c r="D666" t="n">
        <v>0.01</v>
      </c>
      <c r="E666">
        <f>B666*C666*D666</f>
        <v/>
      </c>
    </row>
    <row r="667">
      <c r="A667" t="n">
        <v>666</v>
      </c>
      <c r="B667">
        <f>IF(RAND()&lt;0.55,1,-1)</f>
        <v/>
      </c>
      <c r="C667">
        <f>IF(B667=1,2,-1)</f>
        <v/>
      </c>
      <c r="D667" t="n">
        <v>0.01</v>
      </c>
      <c r="E667">
        <f>B667*C667*D667</f>
        <v/>
      </c>
    </row>
    <row r="668">
      <c r="A668" t="n">
        <v>667</v>
      </c>
      <c r="B668">
        <f>IF(RAND()&lt;0.55,1,-1)</f>
        <v/>
      </c>
      <c r="C668">
        <f>IF(B668=1,2,-1)</f>
        <v/>
      </c>
      <c r="D668" t="n">
        <v>0.01</v>
      </c>
      <c r="E668">
        <f>B668*C668*D668</f>
        <v/>
      </c>
    </row>
    <row r="669">
      <c r="A669" t="n">
        <v>668</v>
      </c>
      <c r="B669">
        <f>IF(RAND()&lt;0.55,1,-1)</f>
        <v/>
      </c>
      <c r="C669">
        <f>IF(B669=1,2,-1)</f>
        <v/>
      </c>
      <c r="D669" t="n">
        <v>0.01</v>
      </c>
      <c r="E669">
        <f>B669*C669*D669</f>
        <v/>
      </c>
    </row>
    <row r="670">
      <c r="A670" t="n">
        <v>669</v>
      </c>
      <c r="B670">
        <f>IF(RAND()&lt;0.55,1,-1)</f>
        <v/>
      </c>
      <c r="C670">
        <f>IF(B670=1,2,-1)</f>
        <v/>
      </c>
      <c r="D670" t="n">
        <v>0.01</v>
      </c>
      <c r="E670">
        <f>B670*C670*D670</f>
        <v/>
      </c>
    </row>
    <row r="671">
      <c r="A671" t="n">
        <v>670</v>
      </c>
      <c r="B671">
        <f>IF(RAND()&lt;0.55,1,-1)</f>
        <v/>
      </c>
      <c r="C671">
        <f>IF(B671=1,2,-1)</f>
        <v/>
      </c>
      <c r="D671" t="n">
        <v>0.01</v>
      </c>
      <c r="E671">
        <f>B671*C671*D671</f>
        <v/>
      </c>
    </row>
    <row r="672">
      <c r="A672" t="n">
        <v>671</v>
      </c>
      <c r="B672">
        <f>IF(RAND()&lt;0.55,1,-1)</f>
        <v/>
      </c>
      <c r="C672">
        <f>IF(B672=1,2,-1)</f>
        <v/>
      </c>
      <c r="D672" t="n">
        <v>0.01</v>
      </c>
      <c r="E672">
        <f>B672*C672*D672</f>
        <v/>
      </c>
    </row>
    <row r="673">
      <c r="A673" t="n">
        <v>672</v>
      </c>
      <c r="B673">
        <f>IF(RAND()&lt;0.55,1,-1)</f>
        <v/>
      </c>
      <c r="C673">
        <f>IF(B673=1,2,-1)</f>
        <v/>
      </c>
      <c r="D673" t="n">
        <v>0.01</v>
      </c>
      <c r="E673">
        <f>B673*C673*D673</f>
        <v/>
      </c>
    </row>
    <row r="674">
      <c r="A674" t="n">
        <v>673</v>
      </c>
      <c r="B674">
        <f>IF(RAND()&lt;0.55,1,-1)</f>
        <v/>
      </c>
      <c r="C674">
        <f>IF(B674=1,2,-1)</f>
        <v/>
      </c>
      <c r="D674" t="n">
        <v>0.01</v>
      </c>
      <c r="E674">
        <f>B674*C674*D674</f>
        <v/>
      </c>
    </row>
    <row r="675">
      <c r="A675" t="n">
        <v>674</v>
      </c>
      <c r="B675">
        <f>IF(RAND()&lt;0.55,1,-1)</f>
        <v/>
      </c>
      <c r="C675">
        <f>IF(B675=1,2,-1)</f>
        <v/>
      </c>
      <c r="D675" t="n">
        <v>0.01</v>
      </c>
      <c r="E675">
        <f>B675*C675*D675</f>
        <v/>
      </c>
    </row>
    <row r="676">
      <c r="A676" t="n">
        <v>675</v>
      </c>
      <c r="B676">
        <f>IF(RAND()&lt;0.55,1,-1)</f>
        <v/>
      </c>
      <c r="C676">
        <f>IF(B676=1,2,-1)</f>
        <v/>
      </c>
      <c r="D676" t="n">
        <v>0.01</v>
      </c>
      <c r="E676">
        <f>B676*C676*D676</f>
        <v/>
      </c>
    </row>
    <row r="677">
      <c r="A677" t="n">
        <v>676</v>
      </c>
      <c r="B677">
        <f>IF(RAND()&lt;0.55,1,-1)</f>
        <v/>
      </c>
      <c r="C677">
        <f>IF(B677=1,2,-1)</f>
        <v/>
      </c>
      <c r="D677" t="n">
        <v>0.01</v>
      </c>
      <c r="E677">
        <f>B677*C677*D677</f>
        <v/>
      </c>
    </row>
    <row r="678">
      <c r="A678" t="n">
        <v>677</v>
      </c>
      <c r="B678">
        <f>IF(RAND()&lt;0.55,1,-1)</f>
        <v/>
      </c>
      <c r="C678">
        <f>IF(B678=1,2,-1)</f>
        <v/>
      </c>
      <c r="D678" t="n">
        <v>0.01</v>
      </c>
      <c r="E678">
        <f>B678*C678*D678</f>
        <v/>
      </c>
    </row>
    <row r="679">
      <c r="A679" t="n">
        <v>678</v>
      </c>
      <c r="B679">
        <f>IF(RAND()&lt;0.55,1,-1)</f>
        <v/>
      </c>
      <c r="C679">
        <f>IF(B679=1,2,-1)</f>
        <v/>
      </c>
      <c r="D679" t="n">
        <v>0.01</v>
      </c>
      <c r="E679">
        <f>B679*C679*D679</f>
        <v/>
      </c>
    </row>
    <row r="680">
      <c r="A680" t="n">
        <v>679</v>
      </c>
      <c r="B680">
        <f>IF(RAND()&lt;0.55,1,-1)</f>
        <v/>
      </c>
      <c r="C680">
        <f>IF(B680=1,2,-1)</f>
        <v/>
      </c>
      <c r="D680" t="n">
        <v>0.01</v>
      </c>
      <c r="E680">
        <f>B680*C680*D680</f>
        <v/>
      </c>
    </row>
    <row r="681">
      <c r="A681" t="n">
        <v>680</v>
      </c>
      <c r="B681">
        <f>IF(RAND()&lt;0.55,1,-1)</f>
        <v/>
      </c>
      <c r="C681">
        <f>IF(B681=1,2,-1)</f>
        <v/>
      </c>
      <c r="D681" t="n">
        <v>0.01</v>
      </c>
      <c r="E681">
        <f>B681*C681*D681</f>
        <v/>
      </c>
    </row>
    <row r="682">
      <c r="A682" t="n">
        <v>681</v>
      </c>
      <c r="B682">
        <f>IF(RAND()&lt;0.55,1,-1)</f>
        <v/>
      </c>
      <c r="C682">
        <f>IF(B682=1,2,-1)</f>
        <v/>
      </c>
      <c r="D682" t="n">
        <v>0.01</v>
      </c>
      <c r="E682">
        <f>B682*C682*D682</f>
        <v/>
      </c>
    </row>
    <row r="683">
      <c r="A683" t="n">
        <v>682</v>
      </c>
      <c r="B683">
        <f>IF(RAND()&lt;0.55,1,-1)</f>
        <v/>
      </c>
      <c r="C683">
        <f>IF(B683=1,2,-1)</f>
        <v/>
      </c>
      <c r="D683" t="n">
        <v>0.01</v>
      </c>
      <c r="E683">
        <f>B683*C683*D683</f>
        <v/>
      </c>
    </row>
    <row r="684">
      <c r="A684" t="n">
        <v>683</v>
      </c>
      <c r="B684">
        <f>IF(RAND()&lt;0.55,1,-1)</f>
        <v/>
      </c>
      <c r="C684">
        <f>IF(B684=1,2,-1)</f>
        <v/>
      </c>
      <c r="D684" t="n">
        <v>0.01</v>
      </c>
      <c r="E684">
        <f>B684*C684*D684</f>
        <v/>
      </c>
    </row>
    <row r="685">
      <c r="A685" t="n">
        <v>684</v>
      </c>
      <c r="B685">
        <f>IF(RAND()&lt;0.55,1,-1)</f>
        <v/>
      </c>
      <c r="C685">
        <f>IF(B685=1,2,-1)</f>
        <v/>
      </c>
      <c r="D685" t="n">
        <v>0.01</v>
      </c>
      <c r="E685">
        <f>B685*C685*D685</f>
        <v/>
      </c>
    </row>
    <row r="686">
      <c r="A686" t="n">
        <v>685</v>
      </c>
      <c r="B686">
        <f>IF(RAND()&lt;0.55,1,-1)</f>
        <v/>
      </c>
      <c r="C686">
        <f>IF(B686=1,2,-1)</f>
        <v/>
      </c>
      <c r="D686" t="n">
        <v>0.01</v>
      </c>
      <c r="E686">
        <f>B686*C686*D686</f>
        <v/>
      </c>
    </row>
    <row r="687">
      <c r="A687" t="n">
        <v>686</v>
      </c>
      <c r="B687">
        <f>IF(RAND()&lt;0.55,1,-1)</f>
        <v/>
      </c>
      <c r="C687">
        <f>IF(B687=1,2,-1)</f>
        <v/>
      </c>
      <c r="D687" t="n">
        <v>0.01</v>
      </c>
      <c r="E687">
        <f>B687*C687*D687</f>
        <v/>
      </c>
    </row>
    <row r="688">
      <c r="A688" t="n">
        <v>687</v>
      </c>
      <c r="B688">
        <f>IF(RAND()&lt;0.55,1,-1)</f>
        <v/>
      </c>
      <c r="C688">
        <f>IF(B688=1,2,-1)</f>
        <v/>
      </c>
      <c r="D688" t="n">
        <v>0.01</v>
      </c>
      <c r="E688">
        <f>B688*C688*D688</f>
        <v/>
      </c>
    </row>
    <row r="689">
      <c r="A689" t="n">
        <v>688</v>
      </c>
      <c r="B689">
        <f>IF(RAND()&lt;0.55,1,-1)</f>
        <v/>
      </c>
      <c r="C689">
        <f>IF(B689=1,2,-1)</f>
        <v/>
      </c>
      <c r="D689" t="n">
        <v>0.01</v>
      </c>
      <c r="E689">
        <f>B689*C689*D689</f>
        <v/>
      </c>
    </row>
    <row r="690">
      <c r="A690" t="n">
        <v>689</v>
      </c>
      <c r="B690">
        <f>IF(RAND()&lt;0.55,1,-1)</f>
        <v/>
      </c>
      <c r="C690">
        <f>IF(B690=1,2,-1)</f>
        <v/>
      </c>
      <c r="D690" t="n">
        <v>0.01</v>
      </c>
      <c r="E690">
        <f>B690*C690*D690</f>
        <v/>
      </c>
    </row>
    <row r="691">
      <c r="A691" t="n">
        <v>690</v>
      </c>
      <c r="B691">
        <f>IF(RAND()&lt;0.55,1,-1)</f>
        <v/>
      </c>
      <c r="C691">
        <f>IF(B691=1,2,-1)</f>
        <v/>
      </c>
      <c r="D691" t="n">
        <v>0.01</v>
      </c>
      <c r="E691">
        <f>B691*C691*D691</f>
        <v/>
      </c>
    </row>
    <row r="692">
      <c r="A692" t="n">
        <v>691</v>
      </c>
      <c r="B692">
        <f>IF(RAND()&lt;0.55,1,-1)</f>
        <v/>
      </c>
      <c r="C692">
        <f>IF(B692=1,2,-1)</f>
        <v/>
      </c>
      <c r="D692" t="n">
        <v>0.01</v>
      </c>
      <c r="E692">
        <f>B692*C692*D692</f>
        <v/>
      </c>
    </row>
    <row r="693">
      <c r="A693" t="n">
        <v>692</v>
      </c>
      <c r="B693">
        <f>IF(RAND()&lt;0.55,1,-1)</f>
        <v/>
      </c>
      <c r="C693">
        <f>IF(B693=1,2,-1)</f>
        <v/>
      </c>
      <c r="D693" t="n">
        <v>0.01</v>
      </c>
      <c r="E693">
        <f>B693*C693*D693</f>
        <v/>
      </c>
    </row>
    <row r="694">
      <c r="A694" t="n">
        <v>693</v>
      </c>
      <c r="B694">
        <f>IF(RAND()&lt;0.55,1,-1)</f>
        <v/>
      </c>
      <c r="C694">
        <f>IF(B694=1,2,-1)</f>
        <v/>
      </c>
      <c r="D694" t="n">
        <v>0.01</v>
      </c>
      <c r="E694">
        <f>B694*C694*D694</f>
        <v/>
      </c>
    </row>
    <row r="695">
      <c r="A695" t="n">
        <v>694</v>
      </c>
      <c r="B695">
        <f>IF(RAND()&lt;0.55,1,-1)</f>
        <v/>
      </c>
      <c r="C695">
        <f>IF(B695=1,2,-1)</f>
        <v/>
      </c>
      <c r="D695" t="n">
        <v>0.01</v>
      </c>
      <c r="E695">
        <f>B695*C695*D695</f>
        <v/>
      </c>
    </row>
    <row r="696">
      <c r="A696" t="n">
        <v>695</v>
      </c>
      <c r="B696">
        <f>IF(RAND()&lt;0.55,1,-1)</f>
        <v/>
      </c>
      <c r="C696">
        <f>IF(B696=1,2,-1)</f>
        <v/>
      </c>
      <c r="D696" t="n">
        <v>0.01</v>
      </c>
      <c r="E696">
        <f>B696*C696*D696</f>
        <v/>
      </c>
    </row>
    <row r="697">
      <c r="A697" t="n">
        <v>696</v>
      </c>
      <c r="B697">
        <f>IF(RAND()&lt;0.55,1,-1)</f>
        <v/>
      </c>
      <c r="C697">
        <f>IF(B697=1,2,-1)</f>
        <v/>
      </c>
      <c r="D697" t="n">
        <v>0.01</v>
      </c>
      <c r="E697">
        <f>B697*C697*D697</f>
        <v/>
      </c>
    </row>
    <row r="698">
      <c r="A698" t="n">
        <v>697</v>
      </c>
      <c r="B698">
        <f>IF(RAND()&lt;0.55,1,-1)</f>
        <v/>
      </c>
      <c r="C698">
        <f>IF(B698=1,2,-1)</f>
        <v/>
      </c>
      <c r="D698" t="n">
        <v>0.01</v>
      </c>
      <c r="E698">
        <f>B698*C698*D698</f>
        <v/>
      </c>
    </row>
    <row r="699">
      <c r="A699" t="n">
        <v>698</v>
      </c>
      <c r="B699">
        <f>IF(RAND()&lt;0.55,1,-1)</f>
        <v/>
      </c>
      <c r="C699">
        <f>IF(B699=1,2,-1)</f>
        <v/>
      </c>
      <c r="D699" t="n">
        <v>0.01</v>
      </c>
      <c r="E699">
        <f>B699*C699*D699</f>
        <v/>
      </c>
    </row>
    <row r="700">
      <c r="A700" t="n">
        <v>699</v>
      </c>
      <c r="B700">
        <f>IF(RAND()&lt;0.55,1,-1)</f>
        <v/>
      </c>
      <c r="C700">
        <f>IF(B700=1,2,-1)</f>
        <v/>
      </c>
      <c r="D700" t="n">
        <v>0.01</v>
      </c>
      <c r="E700">
        <f>B700*C700*D700</f>
        <v/>
      </c>
    </row>
    <row r="701">
      <c r="A701" t="n">
        <v>700</v>
      </c>
      <c r="B701">
        <f>IF(RAND()&lt;0.55,1,-1)</f>
        <v/>
      </c>
      <c r="C701">
        <f>IF(B701=1,2,-1)</f>
        <v/>
      </c>
      <c r="D701" t="n">
        <v>0.01</v>
      </c>
      <c r="E701">
        <f>B701*C701*D701</f>
        <v/>
      </c>
    </row>
    <row r="702">
      <c r="A702" t="n">
        <v>701</v>
      </c>
      <c r="B702">
        <f>IF(RAND()&lt;0.55,1,-1)</f>
        <v/>
      </c>
      <c r="C702">
        <f>IF(B702=1,2,-1)</f>
        <v/>
      </c>
      <c r="D702" t="n">
        <v>0.01</v>
      </c>
      <c r="E702">
        <f>B702*C702*D702</f>
        <v/>
      </c>
    </row>
    <row r="703">
      <c r="A703" t="n">
        <v>702</v>
      </c>
      <c r="B703">
        <f>IF(RAND()&lt;0.55,1,-1)</f>
        <v/>
      </c>
      <c r="C703">
        <f>IF(B703=1,2,-1)</f>
        <v/>
      </c>
      <c r="D703" t="n">
        <v>0.01</v>
      </c>
      <c r="E703">
        <f>B703*C703*D703</f>
        <v/>
      </c>
    </row>
    <row r="704">
      <c r="A704" t="n">
        <v>703</v>
      </c>
      <c r="B704">
        <f>IF(RAND()&lt;0.55,1,-1)</f>
        <v/>
      </c>
      <c r="C704">
        <f>IF(B704=1,2,-1)</f>
        <v/>
      </c>
      <c r="D704" t="n">
        <v>0.01</v>
      </c>
      <c r="E704">
        <f>B704*C704*D704</f>
        <v/>
      </c>
    </row>
    <row r="705">
      <c r="A705" t="n">
        <v>704</v>
      </c>
      <c r="B705">
        <f>IF(RAND()&lt;0.55,1,-1)</f>
        <v/>
      </c>
      <c r="C705">
        <f>IF(B705=1,2,-1)</f>
        <v/>
      </c>
      <c r="D705" t="n">
        <v>0.01</v>
      </c>
      <c r="E705">
        <f>B705*C705*D705</f>
        <v/>
      </c>
    </row>
    <row r="706">
      <c r="A706" t="n">
        <v>705</v>
      </c>
      <c r="B706">
        <f>IF(RAND()&lt;0.55,1,-1)</f>
        <v/>
      </c>
      <c r="C706">
        <f>IF(B706=1,2,-1)</f>
        <v/>
      </c>
      <c r="D706" t="n">
        <v>0.01</v>
      </c>
      <c r="E706">
        <f>B706*C706*D706</f>
        <v/>
      </c>
    </row>
    <row r="707">
      <c r="A707" t="n">
        <v>706</v>
      </c>
      <c r="B707">
        <f>IF(RAND()&lt;0.55,1,-1)</f>
        <v/>
      </c>
      <c r="C707">
        <f>IF(B707=1,2,-1)</f>
        <v/>
      </c>
      <c r="D707" t="n">
        <v>0.01</v>
      </c>
      <c r="E707">
        <f>B707*C707*D707</f>
        <v/>
      </c>
    </row>
    <row r="708">
      <c r="A708" t="n">
        <v>707</v>
      </c>
      <c r="B708">
        <f>IF(RAND()&lt;0.55,1,-1)</f>
        <v/>
      </c>
      <c r="C708">
        <f>IF(B708=1,2,-1)</f>
        <v/>
      </c>
      <c r="D708" t="n">
        <v>0.01</v>
      </c>
      <c r="E708">
        <f>B708*C708*D708</f>
        <v/>
      </c>
    </row>
    <row r="709">
      <c r="A709" t="n">
        <v>708</v>
      </c>
      <c r="B709">
        <f>IF(RAND()&lt;0.55,1,-1)</f>
        <v/>
      </c>
      <c r="C709">
        <f>IF(B709=1,2,-1)</f>
        <v/>
      </c>
      <c r="D709" t="n">
        <v>0.01</v>
      </c>
      <c r="E709">
        <f>B709*C709*D709</f>
        <v/>
      </c>
    </row>
    <row r="710">
      <c r="A710" t="n">
        <v>709</v>
      </c>
      <c r="B710">
        <f>IF(RAND()&lt;0.55,1,-1)</f>
        <v/>
      </c>
      <c r="C710">
        <f>IF(B710=1,2,-1)</f>
        <v/>
      </c>
      <c r="D710" t="n">
        <v>0.01</v>
      </c>
      <c r="E710">
        <f>B710*C710*D710</f>
        <v/>
      </c>
    </row>
    <row r="711">
      <c r="A711" t="n">
        <v>710</v>
      </c>
      <c r="B711">
        <f>IF(RAND()&lt;0.55,1,-1)</f>
        <v/>
      </c>
      <c r="C711">
        <f>IF(B711=1,2,-1)</f>
        <v/>
      </c>
      <c r="D711" t="n">
        <v>0.01</v>
      </c>
      <c r="E711">
        <f>B711*C711*D711</f>
        <v/>
      </c>
    </row>
    <row r="712">
      <c r="A712" t="n">
        <v>711</v>
      </c>
      <c r="B712">
        <f>IF(RAND()&lt;0.55,1,-1)</f>
        <v/>
      </c>
      <c r="C712">
        <f>IF(B712=1,2,-1)</f>
        <v/>
      </c>
      <c r="D712" t="n">
        <v>0.01</v>
      </c>
      <c r="E712">
        <f>B712*C712*D712</f>
        <v/>
      </c>
    </row>
    <row r="713">
      <c r="A713" t="n">
        <v>712</v>
      </c>
      <c r="B713">
        <f>IF(RAND()&lt;0.55,1,-1)</f>
        <v/>
      </c>
      <c r="C713">
        <f>IF(B713=1,2,-1)</f>
        <v/>
      </c>
      <c r="D713" t="n">
        <v>0.01</v>
      </c>
      <c r="E713">
        <f>B713*C713*D713</f>
        <v/>
      </c>
    </row>
    <row r="714">
      <c r="A714" t="n">
        <v>713</v>
      </c>
      <c r="B714">
        <f>IF(RAND()&lt;0.55,1,-1)</f>
        <v/>
      </c>
      <c r="C714">
        <f>IF(B714=1,2,-1)</f>
        <v/>
      </c>
      <c r="D714" t="n">
        <v>0.01</v>
      </c>
      <c r="E714">
        <f>B714*C714*D714</f>
        <v/>
      </c>
    </row>
    <row r="715">
      <c r="A715" t="n">
        <v>714</v>
      </c>
      <c r="B715">
        <f>IF(RAND()&lt;0.55,1,-1)</f>
        <v/>
      </c>
      <c r="C715">
        <f>IF(B715=1,2,-1)</f>
        <v/>
      </c>
      <c r="D715" t="n">
        <v>0.01</v>
      </c>
      <c r="E715">
        <f>B715*C715*D715</f>
        <v/>
      </c>
    </row>
    <row r="716">
      <c r="A716" t="n">
        <v>715</v>
      </c>
      <c r="B716">
        <f>IF(RAND()&lt;0.55,1,-1)</f>
        <v/>
      </c>
      <c r="C716">
        <f>IF(B716=1,2,-1)</f>
        <v/>
      </c>
      <c r="D716" t="n">
        <v>0.01</v>
      </c>
      <c r="E716">
        <f>B716*C716*D716</f>
        <v/>
      </c>
    </row>
    <row r="717">
      <c r="A717" t="n">
        <v>716</v>
      </c>
      <c r="B717">
        <f>IF(RAND()&lt;0.55,1,-1)</f>
        <v/>
      </c>
      <c r="C717">
        <f>IF(B717=1,2,-1)</f>
        <v/>
      </c>
      <c r="D717" t="n">
        <v>0.01</v>
      </c>
      <c r="E717">
        <f>B717*C717*D717</f>
        <v/>
      </c>
    </row>
    <row r="718">
      <c r="A718" t="n">
        <v>717</v>
      </c>
      <c r="B718">
        <f>IF(RAND()&lt;0.55,1,-1)</f>
        <v/>
      </c>
      <c r="C718">
        <f>IF(B718=1,2,-1)</f>
        <v/>
      </c>
      <c r="D718" t="n">
        <v>0.01</v>
      </c>
      <c r="E718">
        <f>B718*C718*D718</f>
        <v/>
      </c>
    </row>
    <row r="719">
      <c r="A719" t="n">
        <v>718</v>
      </c>
      <c r="B719">
        <f>IF(RAND()&lt;0.55,1,-1)</f>
        <v/>
      </c>
      <c r="C719">
        <f>IF(B719=1,2,-1)</f>
        <v/>
      </c>
      <c r="D719" t="n">
        <v>0.01</v>
      </c>
      <c r="E719">
        <f>B719*C719*D719</f>
        <v/>
      </c>
    </row>
    <row r="720">
      <c r="A720" t="n">
        <v>719</v>
      </c>
      <c r="B720">
        <f>IF(RAND()&lt;0.55,1,-1)</f>
        <v/>
      </c>
      <c r="C720">
        <f>IF(B720=1,2,-1)</f>
        <v/>
      </c>
      <c r="D720" t="n">
        <v>0.01</v>
      </c>
      <c r="E720">
        <f>B720*C720*D720</f>
        <v/>
      </c>
    </row>
    <row r="721">
      <c r="A721" t="n">
        <v>720</v>
      </c>
      <c r="B721">
        <f>IF(RAND()&lt;0.55,1,-1)</f>
        <v/>
      </c>
      <c r="C721">
        <f>IF(B721=1,2,-1)</f>
        <v/>
      </c>
      <c r="D721" t="n">
        <v>0.01</v>
      </c>
      <c r="E721">
        <f>B721*C721*D721</f>
        <v/>
      </c>
    </row>
    <row r="722">
      <c r="A722" t="n">
        <v>721</v>
      </c>
      <c r="B722">
        <f>IF(RAND()&lt;0.55,1,-1)</f>
        <v/>
      </c>
      <c r="C722">
        <f>IF(B722=1,2,-1)</f>
        <v/>
      </c>
      <c r="D722" t="n">
        <v>0.01</v>
      </c>
      <c r="E722">
        <f>B722*C722*D722</f>
        <v/>
      </c>
    </row>
    <row r="723">
      <c r="A723" t="n">
        <v>722</v>
      </c>
      <c r="B723">
        <f>IF(RAND()&lt;0.55,1,-1)</f>
        <v/>
      </c>
      <c r="C723">
        <f>IF(B723=1,2,-1)</f>
        <v/>
      </c>
      <c r="D723" t="n">
        <v>0.01</v>
      </c>
      <c r="E723">
        <f>B723*C723*D723</f>
        <v/>
      </c>
    </row>
    <row r="724">
      <c r="A724" t="n">
        <v>723</v>
      </c>
      <c r="B724">
        <f>IF(RAND()&lt;0.55,1,-1)</f>
        <v/>
      </c>
      <c r="C724">
        <f>IF(B724=1,2,-1)</f>
        <v/>
      </c>
      <c r="D724" t="n">
        <v>0.01</v>
      </c>
      <c r="E724">
        <f>B724*C724*D724</f>
        <v/>
      </c>
    </row>
    <row r="725">
      <c r="A725" t="n">
        <v>724</v>
      </c>
      <c r="B725">
        <f>IF(RAND()&lt;0.55,1,-1)</f>
        <v/>
      </c>
      <c r="C725">
        <f>IF(B725=1,2,-1)</f>
        <v/>
      </c>
      <c r="D725" t="n">
        <v>0.01</v>
      </c>
      <c r="E725">
        <f>B725*C725*D725</f>
        <v/>
      </c>
    </row>
    <row r="726">
      <c r="A726" t="n">
        <v>725</v>
      </c>
      <c r="B726">
        <f>IF(RAND()&lt;0.55,1,-1)</f>
        <v/>
      </c>
      <c r="C726">
        <f>IF(B726=1,2,-1)</f>
        <v/>
      </c>
      <c r="D726" t="n">
        <v>0.01</v>
      </c>
      <c r="E726">
        <f>B726*C726*D726</f>
        <v/>
      </c>
    </row>
    <row r="727">
      <c r="A727" t="n">
        <v>726</v>
      </c>
      <c r="B727">
        <f>IF(RAND()&lt;0.55,1,-1)</f>
        <v/>
      </c>
      <c r="C727">
        <f>IF(B727=1,2,-1)</f>
        <v/>
      </c>
      <c r="D727" t="n">
        <v>0.01</v>
      </c>
      <c r="E727">
        <f>B727*C727*D727</f>
        <v/>
      </c>
    </row>
    <row r="728">
      <c r="A728" t="n">
        <v>727</v>
      </c>
      <c r="B728">
        <f>IF(RAND()&lt;0.55,1,-1)</f>
        <v/>
      </c>
      <c r="C728">
        <f>IF(B728=1,2,-1)</f>
        <v/>
      </c>
      <c r="D728" t="n">
        <v>0.01</v>
      </c>
      <c r="E728">
        <f>B728*C728*D728</f>
        <v/>
      </c>
    </row>
    <row r="729">
      <c r="A729" t="n">
        <v>728</v>
      </c>
      <c r="B729">
        <f>IF(RAND()&lt;0.55,1,-1)</f>
        <v/>
      </c>
      <c r="C729">
        <f>IF(B729=1,2,-1)</f>
        <v/>
      </c>
      <c r="D729" t="n">
        <v>0.01</v>
      </c>
      <c r="E729">
        <f>B729*C729*D729</f>
        <v/>
      </c>
    </row>
    <row r="730">
      <c r="A730" t="n">
        <v>729</v>
      </c>
      <c r="B730">
        <f>IF(RAND()&lt;0.55,1,-1)</f>
        <v/>
      </c>
      <c r="C730">
        <f>IF(B730=1,2,-1)</f>
        <v/>
      </c>
      <c r="D730" t="n">
        <v>0.01</v>
      </c>
      <c r="E730">
        <f>B730*C730*D730</f>
        <v/>
      </c>
    </row>
    <row r="731">
      <c r="A731" t="n">
        <v>730</v>
      </c>
      <c r="B731">
        <f>IF(RAND()&lt;0.55,1,-1)</f>
        <v/>
      </c>
      <c r="C731">
        <f>IF(B731=1,2,-1)</f>
        <v/>
      </c>
      <c r="D731" t="n">
        <v>0.01</v>
      </c>
      <c r="E731">
        <f>B731*C731*D731</f>
        <v/>
      </c>
    </row>
    <row r="732">
      <c r="A732" t="n">
        <v>731</v>
      </c>
      <c r="B732">
        <f>IF(RAND()&lt;0.55,1,-1)</f>
        <v/>
      </c>
      <c r="C732">
        <f>IF(B732=1,2,-1)</f>
        <v/>
      </c>
      <c r="D732" t="n">
        <v>0.01</v>
      </c>
      <c r="E732">
        <f>B732*C732*D732</f>
        <v/>
      </c>
    </row>
    <row r="733">
      <c r="A733" t="n">
        <v>732</v>
      </c>
      <c r="B733">
        <f>IF(RAND()&lt;0.55,1,-1)</f>
        <v/>
      </c>
      <c r="C733">
        <f>IF(B733=1,2,-1)</f>
        <v/>
      </c>
      <c r="D733" t="n">
        <v>0.01</v>
      </c>
      <c r="E733">
        <f>B733*C733*D733</f>
        <v/>
      </c>
    </row>
    <row r="734">
      <c r="A734" t="n">
        <v>733</v>
      </c>
      <c r="B734">
        <f>IF(RAND()&lt;0.55,1,-1)</f>
        <v/>
      </c>
      <c r="C734">
        <f>IF(B734=1,2,-1)</f>
        <v/>
      </c>
      <c r="D734" t="n">
        <v>0.01</v>
      </c>
      <c r="E734">
        <f>B734*C734*D734</f>
        <v/>
      </c>
    </row>
    <row r="735">
      <c r="A735" t="n">
        <v>734</v>
      </c>
      <c r="B735">
        <f>IF(RAND()&lt;0.55,1,-1)</f>
        <v/>
      </c>
      <c r="C735">
        <f>IF(B735=1,2,-1)</f>
        <v/>
      </c>
      <c r="D735" t="n">
        <v>0.01</v>
      </c>
      <c r="E735">
        <f>B735*C735*D735</f>
        <v/>
      </c>
    </row>
    <row r="736">
      <c r="A736" t="n">
        <v>735</v>
      </c>
      <c r="B736">
        <f>IF(RAND()&lt;0.55,1,-1)</f>
        <v/>
      </c>
      <c r="C736">
        <f>IF(B736=1,2,-1)</f>
        <v/>
      </c>
      <c r="D736" t="n">
        <v>0.01</v>
      </c>
      <c r="E736">
        <f>B736*C736*D736</f>
        <v/>
      </c>
    </row>
    <row r="737">
      <c r="A737" t="n">
        <v>736</v>
      </c>
      <c r="B737">
        <f>IF(RAND()&lt;0.55,1,-1)</f>
        <v/>
      </c>
      <c r="C737">
        <f>IF(B737=1,2,-1)</f>
        <v/>
      </c>
      <c r="D737" t="n">
        <v>0.01</v>
      </c>
      <c r="E737">
        <f>B737*C737*D737</f>
        <v/>
      </c>
    </row>
    <row r="738">
      <c r="A738" t="n">
        <v>737</v>
      </c>
      <c r="B738">
        <f>IF(RAND()&lt;0.55,1,-1)</f>
        <v/>
      </c>
      <c r="C738">
        <f>IF(B738=1,2,-1)</f>
        <v/>
      </c>
      <c r="D738" t="n">
        <v>0.01</v>
      </c>
      <c r="E738">
        <f>B738*C738*D738</f>
        <v/>
      </c>
    </row>
    <row r="739">
      <c r="A739" t="n">
        <v>738</v>
      </c>
      <c r="B739">
        <f>IF(RAND()&lt;0.55,1,-1)</f>
        <v/>
      </c>
      <c r="C739">
        <f>IF(B739=1,2,-1)</f>
        <v/>
      </c>
      <c r="D739" t="n">
        <v>0.01</v>
      </c>
      <c r="E739">
        <f>B739*C739*D739</f>
        <v/>
      </c>
    </row>
    <row r="740">
      <c r="A740" t="n">
        <v>739</v>
      </c>
      <c r="B740">
        <f>IF(RAND()&lt;0.55,1,-1)</f>
        <v/>
      </c>
      <c r="C740">
        <f>IF(B740=1,2,-1)</f>
        <v/>
      </c>
      <c r="D740" t="n">
        <v>0.01</v>
      </c>
      <c r="E740">
        <f>B740*C740*D740</f>
        <v/>
      </c>
    </row>
    <row r="741">
      <c r="A741" t="n">
        <v>740</v>
      </c>
      <c r="B741">
        <f>IF(RAND()&lt;0.55,1,-1)</f>
        <v/>
      </c>
      <c r="C741">
        <f>IF(B741=1,2,-1)</f>
        <v/>
      </c>
      <c r="D741" t="n">
        <v>0.01</v>
      </c>
      <c r="E741">
        <f>B741*C741*D741</f>
        <v/>
      </c>
    </row>
    <row r="742">
      <c r="A742" t="n">
        <v>741</v>
      </c>
      <c r="B742">
        <f>IF(RAND()&lt;0.55,1,-1)</f>
        <v/>
      </c>
      <c r="C742">
        <f>IF(B742=1,2,-1)</f>
        <v/>
      </c>
      <c r="D742" t="n">
        <v>0.01</v>
      </c>
      <c r="E742">
        <f>B742*C742*D742</f>
        <v/>
      </c>
    </row>
    <row r="743">
      <c r="A743" t="n">
        <v>742</v>
      </c>
      <c r="B743">
        <f>IF(RAND()&lt;0.55,1,-1)</f>
        <v/>
      </c>
      <c r="C743">
        <f>IF(B743=1,2,-1)</f>
        <v/>
      </c>
      <c r="D743" t="n">
        <v>0.01</v>
      </c>
      <c r="E743">
        <f>B743*C743*D743</f>
        <v/>
      </c>
    </row>
    <row r="744">
      <c r="A744" t="n">
        <v>743</v>
      </c>
      <c r="B744">
        <f>IF(RAND()&lt;0.55,1,-1)</f>
        <v/>
      </c>
      <c r="C744">
        <f>IF(B744=1,2,-1)</f>
        <v/>
      </c>
      <c r="D744" t="n">
        <v>0.01</v>
      </c>
      <c r="E744">
        <f>B744*C744*D744</f>
        <v/>
      </c>
    </row>
    <row r="745">
      <c r="A745" t="n">
        <v>744</v>
      </c>
      <c r="B745">
        <f>IF(RAND()&lt;0.55,1,-1)</f>
        <v/>
      </c>
      <c r="C745">
        <f>IF(B745=1,2,-1)</f>
        <v/>
      </c>
      <c r="D745" t="n">
        <v>0.01</v>
      </c>
      <c r="E745">
        <f>B745*C745*D745</f>
        <v/>
      </c>
    </row>
    <row r="746">
      <c r="A746" t="n">
        <v>745</v>
      </c>
      <c r="B746">
        <f>IF(RAND()&lt;0.55,1,-1)</f>
        <v/>
      </c>
      <c r="C746">
        <f>IF(B746=1,2,-1)</f>
        <v/>
      </c>
      <c r="D746" t="n">
        <v>0.01</v>
      </c>
      <c r="E746">
        <f>B746*C746*D746</f>
        <v/>
      </c>
    </row>
    <row r="747">
      <c r="A747" t="n">
        <v>746</v>
      </c>
      <c r="B747">
        <f>IF(RAND()&lt;0.55,1,-1)</f>
        <v/>
      </c>
      <c r="C747">
        <f>IF(B747=1,2,-1)</f>
        <v/>
      </c>
      <c r="D747" t="n">
        <v>0.01</v>
      </c>
      <c r="E747">
        <f>B747*C747*D747</f>
        <v/>
      </c>
    </row>
    <row r="748">
      <c r="A748" t="n">
        <v>747</v>
      </c>
      <c r="B748">
        <f>IF(RAND()&lt;0.55,1,-1)</f>
        <v/>
      </c>
      <c r="C748">
        <f>IF(B748=1,2,-1)</f>
        <v/>
      </c>
      <c r="D748" t="n">
        <v>0.01</v>
      </c>
      <c r="E748">
        <f>B748*C748*D748</f>
        <v/>
      </c>
    </row>
    <row r="749">
      <c r="A749" t="n">
        <v>748</v>
      </c>
      <c r="B749">
        <f>IF(RAND()&lt;0.55,1,-1)</f>
        <v/>
      </c>
      <c r="C749">
        <f>IF(B749=1,2,-1)</f>
        <v/>
      </c>
      <c r="D749" t="n">
        <v>0.01</v>
      </c>
      <c r="E749">
        <f>B749*C749*D749</f>
        <v/>
      </c>
    </row>
    <row r="750">
      <c r="A750" t="n">
        <v>749</v>
      </c>
      <c r="B750">
        <f>IF(RAND()&lt;0.55,1,-1)</f>
        <v/>
      </c>
      <c r="C750">
        <f>IF(B750=1,2,-1)</f>
        <v/>
      </c>
      <c r="D750" t="n">
        <v>0.01</v>
      </c>
      <c r="E750">
        <f>B750*C750*D750</f>
        <v/>
      </c>
    </row>
    <row r="751">
      <c r="A751" t="n">
        <v>750</v>
      </c>
      <c r="B751">
        <f>IF(RAND()&lt;0.55,1,-1)</f>
        <v/>
      </c>
      <c r="C751">
        <f>IF(B751=1,2,-1)</f>
        <v/>
      </c>
      <c r="D751" t="n">
        <v>0.01</v>
      </c>
      <c r="E751">
        <f>B751*C751*D751</f>
        <v/>
      </c>
    </row>
    <row r="752">
      <c r="A752" t="n">
        <v>751</v>
      </c>
      <c r="B752">
        <f>IF(RAND()&lt;0.55,1,-1)</f>
        <v/>
      </c>
      <c r="C752">
        <f>IF(B752=1,2,-1)</f>
        <v/>
      </c>
      <c r="D752" t="n">
        <v>0.01</v>
      </c>
      <c r="E752">
        <f>B752*C752*D752</f>
        <v/>
      </c>
    </row>
    <row r="753">
      <c r="A753" t="n">
        <v>752</v>
      </c>
      <c r="B753">
        <f>IF(RAND()&lt;0.55,1,-1)</f>
        <v/>
      </c>
      <c r="C753">
        <f>IF(B753=1,2,-1)</f>
        <v/>
      </c>
      <c r="D753" t="n">
        <v>0.01</v>
      </c>
      <c r="E753">
        <f>B753*C753*D753</f>
        <v/>
      </c>
    </row>
    <row r="754">
      <c r="A754" t="n">
        <v>753</v>
      </c>
      <c r="B754">
        <f>IF(RAND()&lt;0.55,1,-1)</f>
        <v/>
      </c>
      <c r="C754">
        <f>IF(B754=1,2,-1)</f>
        <v/>
      </c>
      <c r="D754" t="n">
        <v>0.01</v>
      </c>
      <c r="E754">
        <f>B754*C754*D754</f>
        <v/>
      </c>
    </row>
    <row r="755">
      <c r="A755" t="n">
        <v>754</v>
      </c>
      <c r="B755">
        <f>IF(RAND()&lt;0.55,1,-1)</f>
        <v/>
      </c>
      <c r="C755">
        <f>IF(B755=1,2,-1)</f>
        <v/>
      </c>
      <c r="D755" t="n">
        <v>0.01</v>
      </c>
      <c r="E755">
        <f>B755*C755*D755</f>
        <v/>
      </c>
    </row>
    <row r="756">
      <c r="A756" t="n">
        <v>755</v>
      </c>
      <c r="B756">
        <f>IF(RAND()&lt;0.55,1,-1)</f>
        <v/>
      </c>
      <c r="C756">
        <f>IF(B756=1,2,-1)</f>
        <v/>
      </c>
      <c r="D756" t="n">
        <v>0.01</v>
      </c>
      <c r="E756">
        <f>B756*C756*D756</f>
        <v/>
      </c>
    </row>
    <row r="757">
      <c r="A757" t="n">
        <v>756</v>
      </c>
      <c r="B757">
        <f>IF(RAND()&lt;0.55,1,-1)</f>
        <v/>
      </c>
      <c r="C757">
        <f>IF(B757=1,2,-1)</f>
        <v/>
      </c>
      <c r="D757" t="n">
        <v>0.01</v>
      </c>
      <c r="E757">
        <f>B757*C757*D757</f>
        <v/>
      </c>
    </row>
    <row r="758">
      <c r="A758" t="n">
        <v>757</v>
      </c>
      <c r="B758">
        <f>IF(RAND()&lt;0.55,1,-1)</f>
        <v/>
      </c>
      <c r="C758">
        <f>IF(B758=1,2,-1)</f>
        <v/>
      </c>
      <c r="D758" t="n">
        <v>0.01</v>
      </c>
      <c r="E758">
        <f>B758*C758*D758</f>
        <v/>
      </c>
    </row>
    <row r="759">
      <c r="A759" t="n">
        <v>758</v>
      </c>
      <c r="B759">
        <f>IF(RAND()&lt;0.55,1,-1)</f>
        <v/>
      </c>
      <c r="C759">
        <f>IF(B759=1,2,-1)</f>
        <v/>
      </c>
      <c r="D759" t="n">
        <v>0.01</v>
      </c>
      <c r="E759">
        <f>B759*C759*D759</f>
        <v/>
      </c>
    </row>
    <row r="760">
      <c r="A760" t="n">
        <v>759</v>
      </c>
      <c r="B760">
        <f>IF(RAND()&lt;0.55,1,-1)</f>
        <v/>
      </c>
      <c r="C760">
        <f>IF(B760=1,2,-1)</f>
        <v/>
      </c>
      <c r="D760" t="n">
        <v>0.01</v>
      </c>
      <c r="E760">
        <f>B760*C760*D760</f>
        <v/>
      </c>
    </row>
    <row r="761">
      <c r="A761" t="n">
        <v>760</v>
      </c>
      <c r="B761">
        <f>IF(RAND()&lt;0.55,1,-1)</f>
        <v/>
      </c>
      <c r="C761">
        <f>IF(B761=1,2,-1)</f>
        <v/>
      </c>
      <c r="D761" t="n">
        <v>0.01</v>
      </c>
      <c r="E761">
        <f>B761*C761*D761</f>
        <v/>
      </c>
    </row>
    <row r="762">
      <c r="A762" t="n">
        <v>761</v>
      </c>
      <c r="B762">
        <f>IF(RAND()&lt;0.55,1,-1)</f>
        <v/>
      </c>
      <c r="C762">
        <f>IF(B762=1,2,-1)</f>
        <v/>
      </c>
      <c r="D762" t="n">
        <v>0.01</v>
      </c>
      <c r="E762">
        <f>B762*C762*D762</f>
        <v/>
      </c>
    </row>
    <row r="763">
      <c r="A763" t="n">
        <v>762</v>
      </c>
      <c r="B763">
        <f>IF(RAND()&lt;0.55,1,-1)</f>
        <v/>
      </c>
      <c r="C763">
        <f>IF(B763=1,2,-1)</f>
        <v/>
      </c>
      <c r="D763" t="n">
        <v>0.01</v>
      </c>
      <c r="E763">
        <f>B763*C763*D763</f>
        <v/>
      </c>
    </row>
    <row r="764">
      <c r="A764" t="n">
        <v>763</v>
      </c>
      <c r="B764">
        <f>IF(RAND()&lt;0.55,1,-1)</f>
        <v/>
      </c>
      <c r="C764">
        <f>IF(B764=1,2,-1)</f>
        <v/>
      </c>
      <c r="D764" t="n">
        <v>0.01</v>
      </c>
      <c r="E764">
        <f>B764*C764*D764</f>
        <v/>
      </c>
    </row>
    <row r="765">
      <c r="A765" t="n">
        <v>764</v>
      </c>
      <c r="B765">
        <f>IF(RAND()&lt;0.55,1,-1)</f>
        <v/>
      </c>
      <c r="C765">
        <f>IF(B765=1,2,-1)</f>
        <v/>
      </c>
      <c r="D765" t="n">
        <v>0.01</v>
      </c>
      <c r="E765">
        <f>B765*C765*D765</f>
        <v/>
      </c>
    </row>
    <row r="766">
      <c r="A766" t="n">
        <v>765</v>
      </c>
      <c r="B766">
        <f>IF(RAND()&lt;0.55,1,-1)</f>
        <v/>
      </c>
      <c r="C766">
        <f>IF(B766=1,2,-1)</f>
        <v/>
      </c>
      <c r="D766" t="n">
        <v>0.01</v>
      </c>
      <c r="E766">
        <f>B766*C766*D766</f>
        <v/>
      </c>
    </row>
    <row r="767">
      <c r="A767" t="n">
        <v>766</v>
      </c>
      <c r="B767">
        <f>IF(RAND()&lt;0.55,1,-1)</f>
        <v/>
      </c>
      <c r="C767">
        <f>IF(B767=1,2,-1)</f>
        <v/>
      </c>
      <c r="D767" t="n">
        <v>0.01</v>
      </c>
      <c r="E767">
        <f>B767*C767*D767</f>
        <v/>
      </c>
    </row>
    <row r="768">
      <c r="A768" t="n">
        <v>767</v>
      </c>
      <c r="B768">
        <f>IF(RAND()&lt;0.55,1,-1)</f>
        <v/>
      </c>
      <c r="C768">
        <f>IF(B768=1,2,-1)</f>
        <v/>
      </c>
      <c r="D768" t="n">
        <v>0.01</v>
      </c>
      <c r="E768">
        <f>B768*C768*D768</f>
        <v/>
      </c>
    </row>
    <row r="769">
      <c r="A769" t="n">
        <v>768</v>
      </c>
      <c r="B769">
        <f>IF(RAND()&lt;0.55,1,-1)</f>
        <v/>
      </c>
      <c r="C769">
        <f>IF(B769=1,2,-1)</f>
        <v/>
      </c>
      <c r="D769" t="n">
        <v>0.01</v>
      </c>
      <c r="E769">
        <f>B769*C769*D769</f>
        <v/>
      </c>
    </row>
    <row r="770">
      <c r="A770" t="n">
        <v>769</v>
      </c>
      <c r="B770">
        <f>IF(RAND()&lt;0.55,1,-1)</f>
        <v/>
      </c>
      <c r="C770">
        <f>IF(B770=1,2,-1)</f>
        <v/>
      </c>
      <c r="D770" t="n">
        <v>0.01</v>
      </c>
      <c r="E770">
        <f>B770*C770*D770</f>
        <v/>
      </c>
    </row>
    <row r="771">
      <c r="A771" t="n">
        <v>770</v>
      </c>
      <c r="B771">
        <f>IF(RAND()&lt;0.55,1,-1)</f>
        <v/>
      </c>
      <c r="C771">
        <f>IF(B771=1,2,-1)</f>
        <v/>
      </c>
      <c r="D771" t="n">
        <v>0.01</v>
      </c>
      <c r="E771">
        <f>B771*C771*D771</f>
        <v/>
      </c>
    </row>
    <row r="772">
      <c r="A772" t="n">
        <v>771</v>
      </c>
      <c r="B772">
        <f>IF(RAND()&lt;0.55,1,-1)</f>
        <v/>
      </c>
      <c r="C772">
        <f>IF(B772=1,2,-1)</f>
        <v/>
      </c>
      <c r="D772" t="n">
        <v>0.01</v>
      </c>
      <c r="E772">
        <f>B772*C772*D772</f>
        <v/>
      </c>
    </row>
    <row r="773">
      <c r="A773" t="n">
        <v>772</v>
      </c>
      <c r="B773">
        <f>IF(RAND()&lt;0.55,1,-1)</f>
        <v/>
      </c>
      <c r="C773">
        <f>IF(B773=1,2,-1)</f>
        <v/>
      </c>
      <c r="D773" t="n">
        <v>0.01</v>
      </c>
      <c r="E773">
        <f>B773*C773*D773</f>
        <v/>
      </c>
    </row>
    <row r="774">
      <c r="A774" t="n">
        <v>773</v>
      </c>
      <c r="B774">
        <f>IF(RAND()&lt;0.55,1,-1)</f>
        <v/>
      </c>
      <c r="C774">
        <f>IF(B774=1,2,-1)</f>
        <v/>
      </c>
      <c r="D774" t="n">
        <v>0.01</v>
      </c>
      <c r="E774">
        <f>B774*C774*D774</f>
        <v/>
      </c>
    </row>
    <row r="775">
      <c r="A775" t="n">
        <v>774</v>
      </c>
      <c r="B775">
        <f>IF(RAND()&lt;0.55,1,-1)</f>
        <v/>
      </c>
      <c r="C775">
        <f>IF(B775=1,2,-1)</f>
        <v/>
      </c>
      <c r="D775" t="n">
        <v>0.01</v>
      </c>
      <c r="E775">
        <f>B775*C775*D775</f>
        <v/>
      </c>
    </row>
    <row r="776">
      <c r="A776" t="n">
        <v>775</v>
      </c>
      <c r="B776">
        <f>IF(RAND()&lt;0.55,1,-1)</f>
        <v/>
      </c>
      <c r="C776">
        <f>IF(B776=1,2,-1)</f>
        <v/>
      </c>
      <c r="D776" t="n">
        <v>0.01</v>
      </c>
      <c r="E776">
        <f>B776*C776*D776</f>
        <v/>
      </c>
    </row>
    <row r="777">
      <c r="A777" t="n">
        <v>776</v>
      </c>
      <c r="B777">
        <f>IF(RAND()&lt;0.55,1,-1)</f>
        <v/>
      </c>
      <c r="C777">
        <f>IF(B777=1,2,-1)</f>
        <v/>
      </c>
      <c r="D777" t="n">
        <v>0.01</v>
      </c>
      <c r="E777">
        <f>B777*C777*D777</f>
        <v/>
      </c>
    </row>
    <row r="778">
      <c r="A778" t="n">
        <v>777</v>
      </c>
      <c r="B778">
        <f>IF(RAND()&lt;0.55,1,-1)</f>
        <v/>
      </c>
      <c r="C778">
        <f>IF(B778=1,2,-1)</f>
        <v/>
      </c>
      <c r="D778" t="n">
        <v>0.01</v>
      </c>
      <c r="E778">
        <f>B778*C778*D778</f>
        <v/>
      </c>
    </row>
    <row r="779">
      <c r="A779" t="n">
        <v>778</v>
      </c>
      <c r="B779">
        <f>IF(RAND()&lt;0.55,1,-1)</f>
        <v/>
      </c>
      <c r="C779">
        <f>IF(B779=1,2,-1)</f>
        <v/>
      </c>
      <c r="D779" t="n">
        <v>0.01</v>
      </c>
      <c r="E779">
        <f>B779*C779*D779</f>
        <v/>
      </c>
    </row>
    <row r="780">
      <c r="A780" t="n">
        <v>779</v>
      </c>
      <c r="B780">
        <f>IF(RAND()&lt;0.55,1,-1)</f>
        <v/>
      </c>
      <c r="C780">
        <f>IF(B780=1,2,-1)</f>
        <v/>
      </c>
      <c r="D780" t="n">
        <v>0.01</v>
      </c>
      <c r="E780">
        <f>B780*C780*D780</f>
        <v/>
      </c>
    </row>
    <row r="781">
      <c r="A781" t="n">
        <v>780</v>
      </c>
      <c r="B781">
        <f>IF(RAND()&lt;0.55,1,-1)</f>
        <v/>
      </c>
      <c r="C781">
        <f>IF(B781=1,2,-1)</f>
        <v/>
      </c>
      <c r="D781" t="n">
        <v>0.01</v>
      </c>
      <c r="E781">
        <f>B781*C781*D781</f>
        <v/>
      </c>
    </row>
    <row r="782">
      <c r="A782" t="n">
        <v>781</v>
      </c>
      <c r="B782">
        <f>IF(RAND()&lt;0.55,1,-1)</f>
        <v/>
      </c>
      <c r="C782">
        <f>IF(B782=1,2,-1)</f>
        <v/>
      </c>
      <c r="D782" t="n">
        <v>0.01</v>
      </c>
      <c r="E782">
        <f>B782*C782*D782</f>
        <v/>
      </c>
    </row>
    <row r="783">
      <c r="A783" t="n">
        <v>782</v>
      </c>
      <c r="B783">
        <f>IF(RAND()&lt;0.55,1,-1)</f>
        <v/>
      </c>
      <c r="C783">
        <f>IF(B783=1,2,-1)</f>
        <v/>
      </c>
      <c r="D783" t="n">
        <v>0.01</v>
      </c>
      <c r="E783">
        <f>B783*C783*D783</f>
        <v/>
      </c>
    </row>
    <row r="784">
      <c r="A784" t="n">
        <v>783</v>
      </c>
      <c r="B784">
        <f>IF(RAND()&lt;0.55,1,-1)</f>
        <v/>
      </c>
      <c r="C784">
        <f>IF(B784=1,2,-1)</f>
        <v/>
      </c>
      <c r="D784" t="n">
        <v>0.01</v>
      </c>
      <c r="E784">
        <f>B784*C784*D784</f>
        <v/>
      </c>
    </row>
    <row r="785">
      <c r="A785" t="n">
        <v>784</v>
      </c>
      <c r="B785">
        <f>IF(RAND()&lt;0.55,1,-1)</f>
        <v/>
      </c>
      <c r="C785">
        <f>IF(B785=1,2,-1)</f>
        <v/>
      </c>
      <c r="D785" t="n">
        <v>0.01</v>
      </c>
      <c r="E785">
        <f>B785*C785*D785</f>
        <v/>
      </c>
    </row>
    <row r="786">
      <c r="A786" t="n">
        <v>785</v>
      </c>
      <c r="B786">
        <f>IF(RAND()&lt;0.55,1,-1)</f>
        <v/>
      </c>
      <c r="C786">
        <f>IF(B786=1,2,-1)</f>
        <v/>
      </c>
      <c r="D786" t="n">
        <v>0.01</v>
      </c>
      <c r="E786">
        <f>B786*C786*D786</f>
        <v/>
      </c>
    </row>
    <row r="787">
      <c r="A787" t="n">
        <v>786</v>
      </c>
      <c r="B787">
        <f>IF(RAND()&lt;0.55,1,-1)</f>
        <v/>
      </c>
      <c r="C787">
        <f>IF(B787=1,2,-1)</f>
        <v/>
      </c>
      <c r="D787" t="n">
        <v>0.01</v>
      </c>
      <c r="E787">
        <f>B787*C787*D787</f>
        <v/>
      </c>
    </row>
    <row r="788">
      <c r="A788" t="n">
        <v>787</v>
      </c>
      <c r="B788">
        <f>IF(RAND()&lt;0.55,1,-1)</f>
        <v/>
      </c>
      <c r="C788">
        <f>IF(B788=1,2,-1)</f>
        <v/>
      </c>
      <c r="D788" t="n">
        <v>0.01</v>
      </c>
      <c r="E788">
        <f>B788*C788*D788</f>
        <v/>
      </c>
    </row>
    <row r="789">
      <c r="A789" t="n">
        <v>788</v>
      </c>
      <c r="B789">
        <f>IF(RAND()&lt;0.55,1,-1)</f>
        <v/>
      </c>
      <c r="C789">
        <f>IF(B789=1,2,-1)</f>
        <v/>
      </c>
      <c r="D789" t="n">
        <v>0.01</v>
      </c>
      <c r="E789">
        <f>B789*C789*D789</f>
        <v/>
      </c>
    </row>
    <row r="790">
      <c r="A790" t="n">
        <v>789</v>
      </c>
      <c r="B790">
        <f>IF(RAND()&lt;0.55,1,-1)</f>
        <v/>
      </c>
      <c r="C790">
        <f>IF(B790=1,2,-1)</f>
        <v/>
      </c>
      <c r="D790" t="n">
        <v>0.01</v>
      </c>
      <c r="E790">
        <f>B790*C790*D790</f>
        <v/>
      </c>
    </row>
    <row r="791">
      <c r="A791" t="n">
        <v>790</v>
      </c>
      <c r="B791">
        <f>IF(RAND()&lt;0.55,1,-1)</f>
        <v/>
      </c>
      <c r="C791">
        <f>IF(B791=1,2,-1)</f>
        <v/>
      </c>
      <c r="D791" t="n">
        <v>0.01</v>
      </c>
      <c r="E791">
        <f>B791*C791*D791</f>
        <v/>
      </c>
    </row>
    <row r="792">
      <c r="A792" t="n">
        <v>791</v>
      </c>
      <c r="B792">
        <f>IF(RAND()&lt;0.55,1,-1)</f>
        <v/>
      </c>
      <c r="C792">
        <f>IF(B792=1,2,-1)</f>
        <v/>
      </c>
      <c r="D792" t="n">
        <v>0.01</v>
      </c>
      <c r="E792">
        <f>B792*C792*D792</f>
        <v/>
      </c>
    </row>
    <row r="793">
      <c r="A793" t="n">
        <v>792</v>
      </c>
      <c r="B793">
        <f>IF(RAND()&lt;0.55,1,-1)</f>
        <v/>
      </c>
      <c r="C793">
        <f>IF(B793=1,2,-1)</f>
        <v/>
      </c>
      <c r="D793" t="n">
        <v>0.01</v>
      </c>
      <c r="E793">
        <f>B793*C793*D793</f>
        <v/>
      </c>
    </row>
    <row r="794">
      <c r="A794" t="n">
        <v>793</v>
      </c>
      <c r="B794">
        <f>IF(RAND()&lt;0.55,1,-1)</f>
        <v/>
      </c>
      <c r="C794">
        <f>IF(B794=1,2,-1)</f>
        <v/>
      </c>
      <c r="D794" t="n">
        <v>0.01</v>
      </c>
      <c r="E794">
        <f>B794*C794*D794</f>
        <v/>
      </c>
    </row>
    <row r="795">
      <c r="A795" t="n">
        <v>794</v>
      </c>
      <c r="B795">
        <f>IF(RAND()&lt;0.55,1,-1)</f>
        <v/>
      </c>
      <c r="C795">
        <f>IF(B795=1,2,-1)</f>
        <v/>
      </c>
      <c r="D795" t="n">
        <v>0.01</v>
      </c>
      <c r="E795">
        <f>B795*C795*D795</f>
        <v/>
      </c>
    </row>
    <row r="796">
      <c r="A796" t="n">
        <v>795</v>
      </c>
      <c r="B796">
        <f>IF(RAND()&lt;0.55,1,-1)</f>
        <v/>
      </c>
      <c r="C796">
        <f>IF(B796=1,2,-1)</f>
        <v/>
      </c>
      <c r="D796" t="n">
        <v>0.01</v>
      </c>
      <c r="E796">
        <f>B796*C796*D796</f>
        <v/>
      </c>
    </row>
    <row r="797">
      <c r="A797" t="n">
        <v>796</v>
      </c>
      <c r="B797">
        <f>IF(RAND()&lt;0.55,1,-1)</f>
        <v/>
      </c>
      <c r="C797">
        <f>IF(B797=1,2,-1)</f>
        <v/>
      </c>
      <c r="D797" t="n">
        <v>0.01</v>
      </c>
      <c r="E797">
        <f>B797*C797*D797</f>
        <v/>
      </c>
    </row>
    <row r="798">
      <c r="A798" t="n">
        <v>797</v>
      </c>
      <c r="B798">
        <f>IF(RAND()&lt;0.55,1,-1)</f>
        <v/>
      </c>
      <c r="C798">
        <f>IF(B798=1,2,-1)</f>
        <v/>
      </c>
      <c r="D798" t="n">
        <v>0.01</v>
      </c>
      <c r="E798">
        <f>B798*C798*D798</f>
        <v/>
      </c>
    </row>
    <row r="799">
      <c r="A799" t="n">
        <v>798</v>
      </c>
      <c r="B799">
        <f>IF(RAND()&lt;0.55,1,-1)</f>
        <v/>
      </c>
      <c r="C799">
        <f>IF(B799=1,2,-1)</f>
        <v/>
      </c>
      <c r="D799" t="n">
        <v>0.01</v>
      </c>
      <c r="E799">
        <f>B799*C799*D799</f>
        <v/>
      </c>
    </row>
    <row r="800">
      <c r="A800" t="n">
        <v>799</v>
      </c>
      <c r="B800">
        <f>IF(RAND()&lt;0.55,1,-1)</f>
        <v/>
      </c>
      <c r="C800">
        <f>IF(B800=1,2,-1)</f>
        <v/>
      </c>
      <c r="D800" t="n">
        <v>0.01</v>
      </c>
      <c r="E800">
        <f>B800*C800*D800</f>
        <v/>
      </c>
    </row>
    <row r="801">
      <c r="A801" t="n">
        <v>800</v>
      </c>
      <c r="B801">
        <f>IF(RAND()&lt;0.55,1,-1)</f>
        <v/>
      </c>
      <c r="C801">
        <f>IF(B801=1,2,-1)</f>
        <v/>
      </c>
      <c r="D801" t="n">
        <v>0.01</v>
      </c>
      <c r="E801">
        <f>B801*C801*D801</f>
        <v/>
      </c>
    </row>
    <row r="802">
      <c r="A802" t="n">
        <v>801</v>
      </c>
      <c r="B802">
        <f>IF(RAND()&lt;0.55,1,-1)</f>
        <v/>
      </c>
      <c r="C802">
        <f>IF(B802=1,2,-1)</f>
        <v/>
      </c>
      <c r="D802" t="n">
        <v>0.01</v>
      </c>
      <c r="E802">
        <f>B802*C802*D802</f>
        <v/>
      </c>
    </row>
    <row r="803">
      <c r="A803" t="n">
        <v>802</v>
      </c>
      <c r="B803">
        <f>IF(RAND()&lt;0.55,1,-1)</f>
        <v/>
      </c>
      <c r="C803">
        <f>IF(B803=1,2,-1)</f>
        <v/>
      </c>
      <c r="D803" t="n">
        <v>0.01</v>
      </c>
      <c r="E803">
        <f>B803*C803*D803</f>
        <v/>
      </c>
    </row>
    <row r="804">
      <c r="A804" t="n">
        <v>803</v>
      </c>
      <c r="B804">
        <f>IF(RAND()&lt;0.55,1,-1)</f>
        <v/>
      </c>
      <c r="C804">
        <f>IF(B804=1,2,-1)</f>
        <v/>
      </c>
      <c r="D804" t="n">
        <v>0.01</v>
      </c>
      <c r="E804">
        <f>B804*C804*D804</f>
        <v/>
      </c>
    </row>
    <row r="805">
      <c r="A805" t="n">
        <v>804</v>
      </c>
      <c r="B805">
        <f>IF(RAND()&lt;0.55,1,-1)</f>
        <v/>
      </c>
      <c r="C805">
        <f>IF(B805=1,2,-1)</f>
        <v/>
      </c>
      <c r="D805" t="n">
        <v>0.01</v>
      </c>
      <c r="E805">
        <f>B805*C805*D805</f>
        <v/>
      </c>
    </row>
    <row r="806">
      <c r="A806" t="n">
        <v>805</v>
      </c>
      <c r="B806">
        <f>IF(RAND()&lt;0.55,1,-1)</f>
        <v/>
      </c>
      <c r="C806">
        <f>IF(B806=1,2,-1)</f>
        <v/>
      </c>
      <c r="D806" t="n">
        <v>0.01</v>
      </c>
      <c r="E806">
        <f>B806*C806*D806</f>
        <v/>
      </c>
    </row>
    <row r="807">
      <c r="A807" t="n">
        <v>806</v>
      </c>
      <c r="B807">
        <f>IF(RAND()&lt;0.55,1,-1)</f>
        <v/>
      </c>
      <c r="C807">
        <f>IF(B807=1,2,-1)</f>
        <v/>
      </c>
      <c r="D807" t="n">
        <v>0.01</v>
      </c>
      <c r="E807">
        <f>B807*C807*D807</f>
        <v/>
      </c>
    </row>
    <row r="808">
      <c r="A808" t="n">
        <v>807</v>
      </c>
      <c r="B808">
        <f>IF(RAND()&lt;0.55,1,-1)</f>
        <v/>
      </c>
      <c r="C808">
        <f>IF(B808=1,2,-1)</f>
        <v/>
      </c>
      <c r="D808" t="n">
        <v>0.01</v>
      </c>
      <c r="E808">
        <f>B808*C808*D808</f>
        <v/>
      </c>
    </row>
    <row r="809">
      <c r="A809" t="n">
        <v>808</v>
      </c>
      <c r="B809">
        <f>IF(RAND()&lt;0.55,1,-1)</f>
        <v/>
      </c>
      <c r="C809">
        <f>IF(B809=1,2,-1)</f>
        <v/>
      </c>
      <c r="D809" t="n">
        <v>0.01</v>
      </c>
      <c r="E809">
        <f>B809*C809*D809</f>
        <v/>
      </c>
    </row>
    <row r="810">
      <c r="A810" t="n">
        <v>809</v>
      </c>
      <c r="B810">
        <f>IF(RAND()&lt;0.55,1,-1)</f>
        <v/>
      </c>
      <c r="C810">
        <f>IF(B810=1,2,-1)</f>
        <v/>
      </c>
      <c r="D810" t="n">
        <v>0.01</v>
      </c>
      <c r="E810">
        <f>B810*C810*D810</f>
        <v/>
      </c>
    </row>
    <row r="811">
      <c r="A811" t="n">
        <v>810</v>
      </c>
      <c r="B811">
        <f>IF(RAND()&lt;0.55,1,-1)</f>
        <v/>
      </c>
      <c r="C811">
        <f>IF(B811=1,2,-1)</f>
        <v/>
      </c>
      <c r="D811" t="n">
        <v>0.01</v>
      </c>
      <c r="E811">
        <f>B811*C811*D811</f>
        <v/>
      </c>
    </row>
    <row r="812">
      <c r="A812" t="n">
        <v>811</v>
      </c>
      <c r="B812">
        <f>IF(RAND()&lt;0.55,1,-1)</f>
        <v/>
      </c>
      <c r="C812">
        <f>IF(B812=1,2,-1)</f>
        <v/>
      </c>
      <c r="D812" t="n">
        <v>0.01</v>
      </c>
      <c r="E812">
        <f>B812*C812*D812</f>
        <v/>
      </c>
    </row>
    <row r="813">
      <c r="A813" t="n">
        <v>812</v>
      </c>
      <c r="B813">
        <f>IF(RAND()&lt;0.55,1,-1)</f>
        <v/>
      </c>
      <c r="C813">
        <f>IF(B813=1,2,-1)</f>
        <v/>
      </c>
      <c r="D813" t="n">
        <v>0.01</v>
      </c>
      <c r="E813">
        <f>B813*C813*D813</f>
        <v/>
      </c>
    </row>
    <row r="814">
      <c r="A814" t="n">
        <v>813</v>
      </c>
      <c r="B814">
        <f>IF(RAND()&lt;0.55,1,-1)</f>
        <v/>
      </c>
      <c r="C814">
        <f>IF(B814=1,2,-1)</f>
        <v/>
      </c>
      <c r="D814" t="n">
        <v>0.01</v>
      </c>
      <c r="E814">
        <f>B814*C814*D814</f>
        <v/>
      </c>
    </row>
    <row r="815">
      <c r="A815" t="n">
        <v>814</v>
      </c>
      <c r="B815">
        <f>IF(RAND()&lt;0.55,1,-1)</f>
        <v/>
      </c>
      <c r="C815">
        <f>IF(B815=1,2,-1)</f>
        <v/>
      </c>
      <c r="D815" t="n">
        <v>0.01</v>
      </c>
      <c r="E815">
        <f>B815*C815*D815</f>
        <v/>
      </c>
    </row>
    <row r="816">
      <c r="A816" t="n">
        <v>815</v>
      </c>
      <c r="B816">
        <f>IF(RAND()&lt;0.55,1,-1)</f>
        <v/>
      </c>
      <c r="C816">
        <f>IF(B816=1,2,-1)</f>
        <v/>
      </c>
      <c r="D816" t="n">
        <v>0.01</v>
      </c>
      <c r="E816">
        <f>B816*C816*D816</f>
        <v/>
      </c>
    </row>
    <row r="817">
      <c r="A817" t="n">
        <v>816</v>
      </c>
      <c r="B817">
        <f>IF(RAND()&lt;0.55,1,-1)</f>
        <v/>
      </c>
      <c r="C817">
        <f>IF(B817=1,2,-1)</f>
        <v/>
      </c>
      <c r="D817" t="n">
        <v>0.01</v>
      </c>
      <c r="E817">
        <f>B817*C817*D817</f>
        <v/>
      </c>
    </row>
    <row r="818">
      <c r="A818" t="n">
        <v>817</v>
      </c>
      <c r="B818">
        <f>IF(RAND()&lt;0.55,1,-1)</f>
        <v/>
      </c>
      <c r="C818">
        <f>IF(B818=1,2,-1)</f>
        <v/>
      </c>
      <c r="D818" t="n">
        <v>0.01</v>
      </c>
      <c r="E818">
        <f>B818*C818*D818</f>
        <v/>
      </c>
    </row>
    <row r="819">
      <c r="A819" t="n">
        <v>818</v>
      </c>
      <c r="B819">
        <f>IF(RAND()&lt;0.55,1,-1)</f>
        <v/>
      </c>
      <c r="C819">
        <f>IF(B819=1,2,-1)</f>
        <v/>
      </c>
      <c r="D819" t="n">
        <v>0.01</v>
      </c>
      <c r="E819">
        <f>B819*C819*D819</f>
        <v/>
      </c>
    </row>
    <row r="820">
      <c r="A820" t="n">
        <v>819</v>
      </c>
      <c r="B820">
        <f>IF(RAND()&lt;0.55,1,-1)</f>
        <v/>
      </c>
      <c r="C820">
        <f>IF(B820=1,2,-1)</f>
        <v/>
      </c>
      <c r="D820" t="n">
        <v>0.01</v>
      </c>
      <c r="E820">
        <f>B820*C820*D820</f>
        <v/>
      </c>
    </row>
    <row r="821">
      <c r="A821" t="n">
        <v>820</v>
      </c>
      <c r="B821">
        <f>IF(RAND()&lt;0.55,1,-1)</f>
        <v/>
      </c>
      <c r="C821">
        <f>IF(B821=1,2,-1)</f>
        <v/>
      </c>
      <c r="D821" t="n">
        <v>0.01</v>
      </c>
      <c r="E821">
        <f>B821*C821*D821</f>
        <v/>
      </c>
    </row>
    <row r="822">
      <c r="A822" t="n">
        <v>821</v>
      </c>
      <c r="B822">
        <f>IF(RAND()&lt;0.55,1,-1)</f>
        <v/>
      </c>
      <c r="C822">
        <f>IF(B822=1,2,-1)</f>
        <v/>
      </c>
      <c r="D822" t="n">
        <v>0.01</v>
      </c>
      <c r="E822">
        <f>B822*C822*D822</f>
        <v/>
      </c>
    </row>
    <row r="823">
      <c r="A823" t="n">
        <v>822</v>
      </c>
      <c r="B823">
        <f>IF(RAND()&lt;0.55,1,-1)</f>
        <v/>
      </c>
      <c r="C823">
        <f>IF(B823=1,2,-1)</f>
        <v/>
      </c>
      <c r="D823" t="n">
        <v>0.01</v>
      </c>
      <c r="E823">
        <f>B823*C823*D823</f>
        <v/>
      </c>
    </row>
    <row r="824">
      <c r="A824" t="n">
        <v>823</v>
      </c>
      <c r="B824">
        <f>IF(RAND()&lt;0.55,1,-1)</f>
        <v/>
      </c>
      <c r="C824">
        <f>IF(B824=1,2,-1)</f>
        <v/>
      </c>
      <c r="D824" t="n">
        <v>0.01</v>
      </c>
      <c r="E824">
        <f>B824*C824*D824</f>
        <v/>
      </c>
    </row>
    <row r="825">
      <c r="A825" t="n">
        <v>824</v>
      </c>
      <c r="B825">
        <f>IF(RAND()&lt;0.55,1,-1)</f>
        <v/>
      </c>
      <c r="C825">
        <f>IF(B825=1,2,-1)</f>
        <v/>
      </c>
      <c r="D825" t="n">
        <v>0.01</v>
      </c>
      <c r="E825">
        <f>B825*C825*D825</f>
        <v/>
      </c>
    </row>
    <row r="826">
      <c r="A826" t="n">
        <v>825</v>
      </c>
      <c r="B826">
        <f>IF(RAND()&lt;0.55,1,-1)</f>
        <v/>
      </c>
      <c r="C826">
        <f>IF(B826=1,2,-1)</f>
        <v/>
      </c>
      <c r="D826" t="n">
        <v>0.01</v>
      </c>
      <c r="E826">
        <f>B826*C826*D826</f>
        <v/>
      </c>
    </row>
    <row r="827">
      <c r="A827" t="n">
        <v>826</v>
      </c>
      <c r="B827">
        <f>IF(RAND()&lt;0.55,1,-1)</f>
        <v/>
      </c>
      <c r="C827">
        <f>IF(B827=1,2,-1)</f>
        <v/>
      </c>
      <c r="D827" t="n">
        <v>0.01</v>
      </c>
      <c r="E827">
        <f>B827*C827*D827</f>
        <v/>
      </c>
    </row>
    <row r="828">
      <c r="A828" t="n">
        <v>827</v>
      </c>
      <c r="B828">
        <f>IF(RAND()&lt;0.55,1,-1)</f>
        <v/>
      </c>
      <c r="C828">
        <f>IF(B828=1,2,-1)</f>
        <v/>
      </c>
      <c r="D828" t="n">
        <v>0.01</v>
      </c>
      <c r="E828">
        <f>B828*C828*D828</f>
        <v/>
      </c>
    </row>
    <row r="829">
      <c r="A829" t="n">
        <v>828</v>
      </c>
      <c r="B829">
        <f>IF(RAND()&lt;0.55,1,-1)</f>
        <v/>
      </c>
      <c r="C829">
        <f>IF(B829=1,2,-1)</f>
        <v/>
      </c>
      <c r="D829" t="n">
        <v>0.01</v>
      </c>
      <c r="E829">
        <f>B829*C829*D829</f>
        <v/>
      </c>
    </row>
    <row r="830">
      <c r="A830" t="n">
        <v>829</v>
      </c>
      <c r="B830">
        <f>IF(RAND()&lt;0.55,1,-1)</f>
        <v/>
      </c>
      <c r="C830">
        <f>IF(B830=1,2,-1)</f>
        <v/>
      </c>
      <c r="D830" t="n">
        <v>0.01</v>
      </c>
      <c r="E830">
        <f>B830*C830*D830</f>
        <v/>
      </c>
    </row>
    <row r="831">
      <c r="A831" t="n">
        <v>830</v>
      </c>
      <c r="B831">
        <f>IF(RAND()&lt;0.55,1,-1)</f>
        <v/>
      </c>
      <c r="C831">
        <f>IF(B831=1,2,-1)</f>
        <v/>
      </c>
      <c r="D831" t="n">
        <v>0.01</v>
      </c>
      <c r="E831">
        <f>B831*C831*D831</f>
        <v/>
      </c>
    </row>
    <row r="832">
      <c r="A832" t="n">
        <v>831</v>
      </c>
      <c r="B832">
        <f>IF(RAND()&lt;0.55,1,-1)</f>
        <v/>
      </c>
      <c r="C832">
        <f>IF(B832=1,2,-1)</f>
        <v/>
      </c>
      <c r="D832" t="n">
        <v>0.01</v>
      </c>
      <c r="E832">
        <f>B832*C832*D832</f>
        <v/>
      </c>
    </row>
    <row r="833">
      <c r="A833" t="n">
        <v>832</v>
      </c>
      <c r="B833">
        <f>IF(RAND()&lt;0.55,1,-1)</f>
        <v/>
      </c>
      <c r="C833">
        <f>IF(B833=1,2,-1)</f>
        <v/>
      </c>
      <c r="D833" t="n">
        <v>0.01</v>
      </c>
      <c r="E833">
        <f>B833*C833*D833</f>
        <v/>
      </c>
    </row>
    <row r="834">
      <c r="A834" t="n">
        <v>833</v>
      </c>
      <c r="B834">
        <f>IF(RAND()&lt;0.55,1,-1)</f>
        <v/>
      </c>
      <c r="C834">
        <f>IF(B834=1,2,-1)</f>
        <v/>
      </c>
      <c r="D834" t="n">
        <v>0.01</v>
      </c>
      <c r="E834">
        <f>B834*C834*D834</f>
        <v/>
      </c>
    </row>
    <row r="835">
      <c r="A835" t="n">
        <v>834</v>
      </c>
      <c r="B835">
        <f>IF(RAND()&lt;0.55,1,-1)</f>
        <v/>
      </c>
      <c r="C835">
        <f>IF(B835=1,2,-1)</f>
        <v/>
      </c>
      <c r="D835" t="n">
        <v>0.01</v>
      </c>
      <c r="E835">
        <f>B835*C835*D835</f>
        <v/>
      </c>
    </row>
    <row r="836">
      <c r="A836" t="n">
        <v>835</v>
      </c>
      <c r="B836">
        <f>IF(RAND()&lt;0.55,1,-1)</f>
        <v/>
      </c>
      <c r="C836">
        <f>IF(B836=1,2,-1)</f>
        <v/>
      </c>
      <c r="D836" t="n">
        <v>0.01</v>
      </c>
      <c r="E836">
        <f>B836*C836*D836</f>
        <v/>
      </c>
    </row>
    <row r="837">
      <c r="A837" t="n">
        <v>836</v>
      </c>
      <c r="B837">
        <f>IF(RAND()&lt;0.55,1,-1)</f>
        <v/>
      </c>
      <c r="C837">
        <f>IF(B837=1,2,-1)</f>
        <v/>
      </c>
      <c r="D837" t="n">
        <v>0.01</v>
      </c>
      <c r="E837">
        <f>B837*C837*D837</f>
        <v/>
      </c>
    </row>
    <row r="838">
      <c r="A838" t="n">
        <v>837</v>
      </c>
      <c r="B838">
        <f>IF(RAND()&lt;0.55,1,-1)</f>
        <v/>
      </c>
      <c r="C838">
        <f>IF(B838=1,2,-1)</f>
        <v/>
      </c>
      <c r="D838" t="n">
        <v>0.01</v>
      </c>
      <c r="E838">
        <f>B838*C838*D838</f>
        <v/>
      </c>
    </row>
    <row r="839">
      <c r="A839" t="n">
        <v>838</v>
      </c>
      <c r="B839">
        <f>IF(RAND()&lt;0.55,1,-1)</f>
        <v/>
      </c>
      <c r="C839">
        <f>IF(B839=1,2,-1)</f>
        <v/>
      </c>
      <c r="D839" t="n">
        <v>0.01</v>
      </c>
      <c r="E839">
        <f>B839*C839*D839</f>
        <v/>
      </c>
    </row>
    <row r="840">
      <c r="A840" t="n">
        <v>839</v>
      </c>
      <c r="B840">
        <f>IF(RAND()&lt;0.55,1,-1)</f>
        <v/>
      </c>
      <c r="C840">
        <f>IF(B840=1,2,-1)</f>
        <v/>
      </c>
      <c r="D840" t="n">
        <v>0.01</v>
      </c>
      <c r="E840">
        <f>B840*C840*D840</f>
        <v/>
      </c>
    </row>
    <row r="841">
      <c r="A841" t="n">
        <v>840</v>
      </c>
      <c r="B841">
        <f>IF(RAND()&lt;0.55,1,-1)</f>
        <v/>
      </c>
      <c r="C841">
        <f>IF(B841=1,2,-1)</f>
        <v/>
      </c>
      <c r="D841" t="n">
        <v>0.01</v>
      </c>
      <c r="E841">
        <f>B841*C841*D841</f>
        <v/>
      </c>
    </row>
    <row r="842">
      <c r="A842" t="n">
        <v>841</v>
      </c>
      <c r="B842">
        <f>IF(RAND()&lt;0.55,1,-1)</f>
        <v/>
      </c>
      <c r="C842">
        <f>IF(B842=1,2,-1)</f>
        <v/>
      </c>
      <c r="D842" t="n">
        <v>0.01</v>
      </c>
      <c r="E842">
        <f>B842*C842*D842</f>
        <v/>
      </c>
    </row>
    <row r="843">
      <c r="A843" t="n">
        <v>842</v>
      </c>
      <c r="B843">
        <f>IF(RAND()&lt;0.55,1,-1)</f>
        <v/>
      </c>
      <c r="C843">
        <f>IF(B843=1,2,-1)</f>
        <v/>
      </c>
      <c r="D843" t="n">
        <v>0.01</v>
      </c>
      <c r="E843">
        <f>B843*C843*D843</f>
        <v/>
      </c>
    </row>
    <row r="844">
      <c r="A844" t="n">
        <v>843</v>
      </c>
      <c r="B844">
        <f>IF(RAND()&lt;0.55,1,-1)</f>
        <v/>
      </c>
      <c r="C844">
        <f>IF(B844=1,2,-1)</f>
        <v/>
      </c>
      <c r="D844" t="n">
        <v>0.01</v>
      </c>
      <c r="E844">
        <f>B844*C844*D844</f>
        <v/>
      </c>
    </row>
    <row r="845">
      <c r="A845" t="n">
        <v>844</v>
      </c>
      <c r="B845">
        <f>IF(RAND()&lt;0.55,1,-1)</f>
        <v/>
      </c>
      <c r="C845">
        <f>IF(B845=1,2,-1)</f>
        <v/>
      </c>
      <c r="D845" t="n">
        <v>0.01</v>
      </c>
      <c r="E845">
        <f>B845*C845*D845</f>
        <v/>
      </c>
    </row>
    <row r="846">
      <c r="A846" t="n">
        <v>845</v>
      </c>
      <c r="B846">
        <f>IF(RAND()&lt;0.55,1,-1)</f>
        <v/>
      </c>
      <c r="C846">
        <f>IF(B846=1,2,-1)</f>
        <v/>
      </c>
      <c r="D846" t="n">
        <v>0.01</v>
      </c>
      <c r="E846">
        <f>B846*C846*D846</f>
        <v/>
      </c>
    </row>
    <row r="847">
      <c r="A847" t="n">
        <v>846</v>
      </c>
      <c r="B847">
        <f>IF(RAND()&lt;0.55,1,-1)</f>
        <v/>
      </c>
      <c r="C847">
        <f>IF(B847=1,2,-1)</f>
        <v/>
      </c>
      <c r="D847" t="n">
        <v>0.01</v>
      </c>
      <c r="E847">
        <f>B847*C847*D847</f>
        <v/>
      </c>
    </row>
    <row r="848">
      <c r="A848" t="n">
        <v>847</v>
      </c>
      <c r="B848">
        <f>IF(RAND()&lt;0.55,1,-1)</f>
        <v/>
      </c>
      <c r="C848">
        <f>IF(B848=1,2,-1)</f>
        <v/>
      </c>
      <c r="D848" t="n">
        <v>0.01</v>
      </c>
      <c r="E848">
        <f>B848*C848*D848</f>
        <v/>
      </c>
    </row>
    <row r="849">
      <c r="A849" t="n">
        <v>848</v>
      </c>
      <c r="B849">
        <f>IF(RAND()&lt;0.55,1,-1)</f>
        <v/>
      </c>
      <c r="C849">
        <f>IF(B849=1,2,-1)</f>
        <v/>
      </c>
      <c r="D849" t="n">
        <v>0.01</v>
      </c>
      <c r="E849">
        <f>B849*C849*D849</f>
        <v/>
      </c>
    </row>
    <row r="850">
      <c r="A850" t="n">
        <v>849</v>
      </c>
      <c r="B850">
        <f>IF(RAND()&lt;0.55,1,-1)</f>
        <v/>
      </c>
      <c r="C850">
        <f>IF(B850=1,2,-1)</f>
        <v/>
      </c>
      <c r="D850" t="n">
        <v>0.01</v>
      </c>
      <c r="E850">
        <f>B850*C850*D850</f>
        <v/>
      </c>
    </row>
    <row r="851">
      <c r="A851" t="n">
        <v>850</v>
      </c>
      <c r="B851">
        <f>IF(RAND()&lt;0.55,1,-1)</f>
        <v/>
      </c>
      <c r="C851">
        <f>IF(B851=1,2,-1)</f>
        <v/>
      </c>
      <c r="D851" t="n">
        <v>0.01</v>
      </c>
      <c r="E851">
        <f>B851*C851*D851</f>
        <v/>
      </c>
    </row>
    <row r="852">
      <c r="A852" t="n">
        <v>851</v>
      </c>
      <c r="B852">
        <f>IF(RAND()&lt;0.55,1,-1)</f>
        <v/>
      </c>
      <c r="C852">
        <f>IF(B852=1,2,-1)</f>
        <v/>
      </c>
      <c r="D852" t="n">
        <v>0.01</v>
      </c>
      <c r="E852">
        <f>B852*C852*D852</f>
        <v/>
      </c>
    </row>
    <row r="853">
      <c r="A853" t="n">
        <v>852</v>
      </c>
      <c r="B853">
        <f>IF(RAND()&lt;0.55,1,-1)</f>
        <v/>
      </c>
      <c r="C853">
        <f>IF(B853=1,2,-1)</f>
        <v/>
      </c>
      <c r="D853" t="n">
        <v>0.01</v>
      </c>
      <c r="E853">
        <f>B853*C853*D853</f>
        <v/>
      </c>
    </row>
    <row r="854">
      <c r="A854" t="n">
        <v>853</v>
      </c>
      <c r="B854">
        <f>IF(RAND()&lt;0.55,1,-1)</f>
        <v/>
      </c>
      <c r="C854">
        <f>IF(B854=1,2,-1)</f>
        <v/>
      </c>
      <c r="D854" t="n">
        <v>0.01</v>
      </c>
      <c r="E854">
        <f>B854*C854*D854</f>
        <v/>
      </c>
    </row>
    <row r="855">
      <c r="A855" t="n">
        <v>854</v>
      </c>
      <c r="B855">
        <f>IF(RAND()&lt;0.55,1,-1)</f>
        <v/>
      </c>
      <c r="C855">
        <f>IF(B855=1,2,-1)</f>
        <v/>
      </c>
      <c r="D855" t="n">
        <v>0.01</v>
      </c>
      <c r="E855">
        <f>B855*C855*D855</f>
        <v/>
      </c>
    </row>
    <row r="856">
      <c r="A856" t="n">
        <v>855</v>
      </c>
      <c r="B856">
        <f>IF(RAND()&lt;0.55,1,-1)</f>
        <v/>
      </c>
      <c r="C856">
        <f>IF(B856=1,2,-1)</f>
        <v/>
      </c>
      <c r="D856" t="n">
        <v>0.01</v>
      </c>
      <c r="E856">
        <f>B856*C856*D856</f>
        <v/>
      </c>
    </row>
    <row r="857">
      <c r="A857" t="n">
        <v>856</v>
      </c>
      <c r="B857">
        <f>IF(RAND()&lt;0.55,1,-1)</f>
        <v/>
      </c>
      <c r="C857">
        <f>IF(B857=1,2,-1)</f>
        <v/>
      </c>
      <c r="D857" t="n">
        <v>0.01</v>
      </c>
      <c r="E857">
        <f>B857*C857*D857</f>
        <v/>
      </c>
    </row>
    <row r="858">
      <c r="A858" t="n">
        <v>857</v>
      </c>
      <c r="B858">
        <f>IF(RAND()&lt;0.55,1,-1)</f>
        <v/>
      </c>
      <c r="C858">
        <f>IF(B858=1,2,-1)</f>
        <v/>
      </c>
      <c r="D858" t="n">
        <v>0.01</v>
      </c>
      <c r="E858">
        <f>B858*C858*D858</f>
        <v/>
      </c>
    </row>
    <row r="859">
      <c r="A859" t="n">
        <v>858</v>
      </c>
      <c r="B859">
        <f>IF(RAND()&lt;0.55,1,-1)</f>
        <v/>
      </c>
      <c r="C859">
        <f>IF(B859=1,2,-1)</f>
        <v/>
      </c>
      <c r="D859" t="n">
        <v>0.01</v>
      </c>
      <c r="E859">
        <f>B859*C859*D859</f>
        <v/>
      </c>
    </row>
    <row r="860">
      <c r="A860" t="n">
        <v>859</v>
      </c>
      <c r="B860">
        <f>IF(RAND()&lt;0.55,1,-1)</f>
        <v/>
      </c>
      <c r="C860">
        <f>IF(B860=1,2,-1)</f>
        <v/>
      </c>
      <c r="D860" t="n">
        <v>0.01</v>
      </c>
      <c r="E860">
        <f>B860*C860*D860</f>
        <v/>
      </c>
    </row>
    <row r="861">
      <c r="A861" t="n">
        <v>860</v>
      </c>
      <c r="B861">
        <f>IF(RAND()&lt;0.55,1,-1)</f>
        <v/>
      </c>
      <c r="C861">
        <f>IF(B861=1,2,-1)</f>
        <v/>
      </c>
      <c r="D861" t="n">
        <v>0.01</v>
      </c>
      <c r="E861">
        <f>B861*C861*D861</f>
        <v/>
      </c>
    </row>
    <row r="862">
      <c r="A862" t="n">
        <v>861</v>
      </c>
      <c r="B862">
        <f>IF(RAND()&lt;0.55,1,-1)</f>
        <v/>
      </c>
      <c r="C862">
        <f>IF(B862=1,2,-1)</f>
        <v/>
      </c>
      <c r="D862" t="n">
        <v>0.01</v>
      </c>
      <c r="E862">
        <f>B862*C862*D862</f>
        <v/>
      </c>
    </row>
    <row r="863">
      <c r="A863" t="n">
        <v>862</v>
      </c>
      <c r="B863">
        <f>IF(RAND()&lt;0.55,1,-1)</f>
        <v/>
      </c>
      <c r="C863">
        <f>IF(B863=1,2,-1)</f>
        <v/>
      </c>
      <c r="D863" t="n">
        <v>0.01</v>
      </c>
      <c r="E863">
        <f>B863*C863*D863</f>
        <v/>
      </c>
    </row>
    <row r="864">
      <c r="A864" t="n">
        <v>863</v>
      </c>
      <c r="B864">
        <f>IF(RAND()&lt;0.55,1,-1)</f>
        <v/>
      </c>
      <c r="C864">
        <f>IF(B864=1,2,-1)</f>
        <v/>
      </c>
      <c r="D864" t="n">
        <v>0.01</v>
      </c>
      <c r="E864">
        <f>B864*C864*D864</f>
        <v/>
      </c>
    </row>
    <row r="865">
      <c r="A865" t="n">
        <v>864</v>
      </c>
      <c r="B865">
        <f>IF(RAND()&lt;0.55,1,-1)</f>
        <v/>
      </c>
      <c r="C865">
        <f>IF(B865=1,2,-1)</f>
        <v/>
      </c>
      <c r="D865" t="n">
        <v>0.01</v>
      </c>
      <c r="E865">
        <f>B865*C865*D865</f>
        <v/>
      </c>
    </row>
    <row r="866">
      <c r="A866" t="n">
        <v>865</v>
      </c>
      <c r="B866">
        <f>IF(RAND()&lt;0.55,1,-1)</f>
        <v/>
      </c>
      <c r="C866">
        <f>IF(B866=1,2,-1)</f>
        <v/>
      </c>
      <c r="D866" t="n">
        <v>0.01</v>
      </c>
      <c r="E866">
        <f>B866*C866*D866</f>
        <v/>
      </c>
    </row>
    <row r="867">
      <c r="A867" t="n">
        <v>866</v>
      </c>
      <c r="B867">
        <f>IF(RAND()&lt;0.55,1,-1)</f>
        <v/>
      </c>
      <c r="C867">
        <f>IF(B867=1,2,-1)</f>
        <v/>
      </c>
      <c r="D867" t="n">
        <v>0.01</v>
      </c>
      <c r="E867">
        <f>B867*C867*D867</f>
        <v/>
      </c>
    </row>
    <row r="868">
      <c r="A868" t="n">
        <v>867</v>
      </c>
      <c r="B868">
        <f>IF(RAND()&lt;0.55,1,-1)</f>
        <v/>
      </c>
      <c r="C868">
        <f>IF(B868=1,2,-1)</f>
        <v/>
      </c>
      <c r="D868" t="n">
        <v>0.01</v>
      </c>
      <c r="E868">
        <f>B868*C868*D868</f>
        <v/>
      </c>
    </row>
    <row r="869">
      <c r="A869" t="n">
        <v>868</v>
      </c>
      <c r="B869">
        <f>IF(RAND()&lt;0.55,1,-1)</f>
        <v/>
      </c>
      <c r="C869">
        <f>IF(B869=1,2,-1)</f>
        <v/>
      </c>
      <c r="D869" t="n">
        <v>0.01</v>
      </c>
      <c r="E869">
        <f>B869*C869*D869</f>
        <v/>
      </c>
    </row>
    <row r="870">
      <c r="A870" t="n">
        <v>869</v>
      </c>
      <c r="B870">
        <f>IF(RAND()&lt;0.55,1,-1)</f>
        <v/>
      </c>
      <c r="C870">
        <f>IF(B870=1,2,-1)</f>
        <v/>
      </c>
      <c r="D870" t="n">
        <v>0.01</v>
      </c>
      <c r="E870">
        <f>B870*C870*D870</f>
        <v/>
      </c>
    </row>
    <row r="871">
      <c r="A871" t="n">
        <v>870</v>
      </c>
      <c r="B871">
        <f>IF(RAND()&lt;0.55,1,-1)</f>
        <v/>
      </c>
      <c r="C871">
        <f>IF(B871=1,2,-1)</f>
        <v/>
      </c>
      <c r="D871" t="n">
        <v>0.01</v>
      </c>
      <c r="E871">
        <f>B871*C871*D871</f>
        <v/>
      </c>
    </row>
    <row r="872">
      <c r="A872" t="n">
        <v>871</v>
      </c>
      <c r="B872">
        <f>IF(RAND()&lt;0.55,1,-1)</f>
        <v/>
      </c>
      <c r="C872">
        <f>IF(B872=1,2,-1)</f>
        <v/>
      </c>
      <c r="D872" t="n">
        <v>0.01</v>
      </c>
      <c r="E872">
        <f>B872*C872*D872</f>
        <v/>
      </c>
    </row>
    <row r="873">
      <c r="A873" t="n">
        <v>872</v>
      </c>
      <c r="B873">
        <f>IF(RAND()&lt;0.55,1,-1)</f>
        <v/>
      </c>
      <c r="C873">
        <f>IF(B873=1,2,-1)</f>
        <v/>
      </c>
      <c r="D873" t="n">
        <v>0.01</v>
      </c>
      <c r="E873">
        <f>B873*C873*D873</f>
        <v/>
      </c>
    </row>
    <row r="874">
      <c r="A874" t="n">
        <v>873</v>
      </c>
      <c r="B874">
        <f>IF(RAND()&lt;0.55,1,-1)</f>
        <v/>
      </c>
      <c r="C874">
        <f>IF(B874=1,2,-1)</f>
        <v/>
      </c>
      <c r="D874" t="n">
        <v>0.01</v>
      </c>
      <c r="E874">
        <f>B874*C874*D874</f>
        <v/>
      </c>
    </row>
    <row r="875">
      <c r="A875" t="n">
        <v>874</v>
      </c>
      <c r="B875">
        <f>IF(RAND()&lt;0.55,1,-1)</f>
        <v/>
      </c>
      <c r="C875">
        <f>IF(B875=1,2,-1)</f>
        <v/>
      </c>
      <c r="D875" t="n">
        <v>0.01</v>
      </c>
      <c r="E875">
        <f>B875*C875*D875</f>
        <v/>
      </c>
    </row>
    <row r="876">
      <c r="A876" t="n">
        <v>875</v>
      </c>
      <c r="B876">
        <f>IF(RAND()&lt;0.55,1,-1)</f>
        <v/>
      </c>
      <c r="C876">
        <f>IF(B876=1,2,-1)</f>
        <v/>
      </c>
      <c r="D876" t="n">
        <v>0.01</v>
      </c>
      <c r="E876">
        <f>B876*C876*D876</f>
        <v/>
      </c>
    </row>
    <row r="877">
      <c r="A877" t="n">
        <v>876</v>
      </c>
      <c r="B877">
        <f>IF(RAND()&lt;0.55,1,-1)</f>
        <v/>
      </c>
      <c r="C877">
        <f>IF(B877=1,2,-1)</f>
        <v/>
      </c>
      <c r="D877" t="n">
        <v>0.01</v>
      </c>
      <c r="E877">
        <f>B877*C877*D877</f>
        <v/>
      </c>
    </row>
    <row r="878">
      <c r="A878" t="n">
        <v>877</v>
      </c>
      <c r="B878">
        <f>IF(RAND()&lt;0.55,1,-1)</f>
        <v/>
      </c>
      <c r="C878">
        <f>IF(B878=1,2,-1)</f>
        <v/>
      </c>
      <c r="D878" t="n">
        <v>0.01</v>
      </c>
      <c r="E878">
        <f>B878*C878*D878</f>
        <v/>
      </c>
    </row>
    <row r="879">
      <c r="A879" t="n">
        <v>878</v>
      </c>
      <c r="B879">
        <f>IF(RAND()&lt;0.55,1,-1)</f>
        <v/>
      </c>
      <c r="C879">
        <f>IF(B879=1,2,-1)</f>
        <v/>
      </c>
      <c r="D879" t="n">
        <v>0.01</v>
      </c>
      <c r="E879">
        <f>B879*C879*D879</f>
        <v/>
      </c>
    </row>
    <row r="880">
      <c r="A880" t="n">
        <v>879</v>
      </c>
      <c r="B880">
        <f>IF(RAND()&lt;0.55,1,-1)</f>
        <v/>
      </c>
      <c r="C880">
        <f>IF(B880=1,2,-1)</f>
        <v/>
      </c>
      <c r="D880" t="n">
        <v>0.01</v>
      </c>
      <c r="E880">
        <f>B880*C880*D880</f>
        <v/>
      </c>
    </row>
    <row r="881">
      <c r="A881" t="n">
        <v>880</v>
      </c>
      <c r="B881">
        <f>IF(RAND()&lt;0.55,1,-1)</f>
        <v/>
      </c>
      <c r="C881">
        <f>IF(B881=1,2,-1)</f>
        <v/>
      </c>
      <c r="D881" t="n">
        <v>0.01</v>
      </c>
      <c r="E881">
        <f>B881*C881*D881</f>
        <v/>
      </c>
    </row>
    <row r="882">
      <c r="A882" t="n">
        <v>881</v>
      </c>
      <c r="B882">
        <f>IF(RAND()&lt;0.55,1,-1)</f>
        <v/>
      </c>
      <c r="C882">
        <f>IF(B882=1,2,-1)</f>
        <v/>
      </c>
      <c r="D882" t="n">
        <v>0.01</v>
      </c>
      <c r="E882">
        <f>B882*C882*D882</f>
        <v/>
      </c>
    </row>
    <row r="883">
      <c r="A883" t="n">
        <v>882</v>
      </c>
      <c r="B883">
        <f>IF(RAND()&lt;0.55,1,-1)</f>
        <v/>
      </c>
      <c r="C883">
        <f>IF(B883=1,2,-1)</f>
        <v/>
      </c>
      <c r="D883" t="n">
        <v>0.01</v>
      </c>
      <c r="E883">
        <f>B883*C883*D883</f>
        <v/>
      </c>
    </row>
    <row r="884">
      <c r="A884" t="n">
        <v>883</v>
      </c>
      <c r="B884">
        <f>IF(RAND()&lt;0.55,1,-1)</f>
        <v/>
      </c>
      <c r="C884">
        <f>IF(B884=1,2,-1)</f>
        <v/>
      </c>
      <c r="D884" t="n">
        <v>0.01</v>
      </c>
      <c r="E884">
        <f>B884*C884*D884</f>
        <v/>
      </c>
    </row>
    <row r="885">
      <c r="A885" t="n">
        <v>884</v>
      </c>
      <c r="B885">
        <f>IF(RAND()&lt;0.55,1,-1)</f>
        <v/>
      </c>
      <c r="C885">
        <f>IF(B885=1,2,-1)</f>
        <v/>
      </c>
      <c r="D885" t="n">
        <v>0.01</v>
      </c>
      <c r="E885">
        <f>B885*C885*D885</f>
        <v/>
      </c>
    </row>
    <row r="886">
      <c r="A886" t="n">
        <v>885</v>
      </c>
      <c r="B886">
        <f>IF(RAND()&lt;0.55,1,-1)</f>
        <v/>
      </c>
      <c r="C886">
        <f>IF(B886=1,2,-1)</f>
        <v/>
      </c>
      <c r="D886" t="n">
        <v>0.01</v>
      </c>
      <c r="E886">
        <f>B886*C886*D886</f>
        <v/>
      </c>
    </row>
    <row r="887">
      <c r="A887" t="n">
        <v>886</v>
      </c>
      <c r="B887">
        <f>IF(RAND()&lt;0.55,1,-1)</f>
        <v/>
      </c>
      <c r="C887">
        <f>IF(B887=1,2,-1)</f>
        <v/>
      </c>
      <c r="D887" t="n">
        <v>0.01</v>
      </c>
      <c r="E887">
        <f>B887*C887*D887</f>
        <v/>
      </c>
    </row>
    <row r="888">
      <c r="A888" t="n">
        <v>887</v>
      </c>
      <c r="B888">
        <f>IF(RAND()&lt;0.55,1,-1)</f>
        <v/>
      </c>
      <c r="C888">
        <f>IF(B888=1,2,-1)</f>
        <v/>
      </c>
      <c r="D888" t="n">
        <v>0.01</v>
      </c>
      <c r="E888">
        <f>B888*C888*D888</f>
        <v/>
      </c>
    </row>
    <row r="889">
      <c r="A889" t="n">
        <v>888</v>
      </c>
      <c r="B889">
        <f>IF(RAND()&lt;0.55,1,-1)</f>
        <v/>
      </c>
      <c r="C889">
        <f>IF(B889=1,2,-1)</f>
        <v/>
      </c>
      <c r="D889" t="n">
        <v>0.01</v>
      </c>
      <c r="E889">
        <f>B889*C889*D889</f>
        <v/>
      </c>
    </row>
    <row r="890">
      <c r="A890" t="n">
        <v>889</v>
      </c>
      <c r="B890">
        <f>IF(RAND()&lt;0.55,1,-1)</f>
        <v/>
      </c>
      <c r="C890">
        <f>IF(B890=1,2,-1)</f>
        <v/>
      </c>
      <c r="D890" t="n">
        <v>0.01</v>
      </c>
      <c r="E890">
        <f>B890*C890*D890</f>
        <v/>
      </c>
    </row>
    <row r="891">
      <c r="A891" t="n">
        <v>890</v>
      </c>
      <c r="B891">
        <f>IF(RAND()&lt;0.55,1,-1)</f>
        <v/>
      </c>
      <c r="C891">
        <f>IF(B891=1,2,-1)</f>
        <v/>
      </c>
      <c r="D891" t="n">
        <v>0.01</v>
      </c>
      <c r="E891">
        <f>B891*C891*D891</f>
        <v/>
      </c>
    </row>
    <row r="892">
      <c r="A892" t="n">
        <v>891</v>
      </c>
      <c r="B892">
        <f>IF(RAND()&lt;0.55,1,-1)</f>
        <v/>
      </c>
      <c r="C892">
        <f>IF(B892=1,2,-1)</f>
        <v/>
      </c>
      <c r="D892" t="n">
        <v>0.01</v>
      </c>
      <c r="E892">
        <f>B892*C892*D892</f>
        <v/>
      </c>
    </row>
    <row r="893">
      <c r="A893" t="n">
        <v>892</v>
      </c>
      <c r="B893">
        <f>IF(RAND()&lt;0.55,1,-1)</f>
        <v/>
      </c>
      <c r="C893">
        <f>IF(B893=1,2,-1)</f>
        <v/>
      </c>
      <c r="D893" t="n">
        <v>0.01</v>
      </c>
      <c r="E893">
        <f>B893*C893*D893</f>
        <v/>
      </c>
    </row>
    <row r="894">
      <c r="A894" t="n">
        <v>893</v>
      </c>
      <c r="B894">
        <f>IF(RAND()&lt;0.55,1,-1)</f>
        <v/>
      </c>
      <c r="C894">
        <f>IF(B894=1,2,-1)</f>
        <v/>
      </c>
      <c r="D894" t="n">
        <v>0.01</v>
      </c>
      <c r="E894">
        <f>B894*C894*D894</f>
        <v/>
      </c>
    </row>
    <row r="895">
      <c r="A895" t="n">
        <v>894</v>
      </c>
      <c r="B895">
        <f>IF(RAND()&lt;0.55,1,-1)</f>
        <v/>
      </c>
      <c r="C895">
        <f>IF(B895=1,2,-1)</f>
        <v/>
      </c>
      <c r="D895" t="n">
        <v>0.01</v>
      </c>
      <c r="E895">
        <f>B895*C895*D895</f>
        <v/>
      </c>
    </row>
    <row r="896">
      <c r="A896" t="n">
        <v>895</v>
      </c>
      <c r="B896">
        <f>IF(RAND()&lt;0.55,1,-1)</f>
        <v/>
      </c>
      <c r="C896">
        <f>IF(B896=1,2,-1)</f>
        <v/>
      </c>
      <c r="D896" t="n">
        <v>0.01</v>
      </c>
      <c r="E896">
        <f>B896*C896*D896</f>
        <v/>
      </c>
    </row>
    <row r="897">
      <c r="A897" t="n">
        <v>896</v>
      </c>
      <c r="B897">
        <f>IF(RAND()&lt;0.55,1,-1)</f>
        <v/>
      </c>
      <c r="C897">
        <f>IF(B897=1,2,-1)</f>
        <v/>
      </c>
      <c r="D897" t="n">
        <v>0.01</v>
      </c>
      <c r="E897">
        <f>B897*C897*D897</f>
        <v/>
      </c>
    </row>
    <row r="898">
      <c r="A898" t="n">
        <v>897</v>
      </c>
      <c r="B898">
        <f>IF(RAND()&lt;0.55,1,-1)</f>
        <v/>
      </c>
      <c r="C898">
        <f>IF(B898=1,2,-1)</f>
        <v/>
      </c>
      <c r="D898" t="n">
        <v>0.01</v>
      </c>
      <c r="E898">
        <f>B898*C898*D898</f>
        <v/>
      </c>
    </row>
    <row r="899">
      <c r="A899" t="n">
        <v>898</v>
      </c>
      <c r="B899">
        <f>IF(RAND()&lt;0.55,1,-1)</f>
        <v/>
      </c>
      <c r="C899">
        <f>IF(B899=1,2,-1)</f>
        <v/>
      </c>
      <c r="D899" t="n">
        <v>0.01</v>
      </c>
      <c r="E899">
        <f>B899*C899*D899</f>
        <v/>
      </c>
    </row>
    <row r="900">
      <c r="A900" t="n">
        <v>899</v>
      </c>
      <c r="B900">
        <f>IF(RAND()&lt;0.55,1,-1)</f>
        <v/>
      </c>
      <c r="C900">
        <f>IF(B900=1,2,-1)</f>
        <v/>
      </c>
      <c r="D900" t="n">
        <v>0.01</v>
      </c>
      <c r="E900">
        <f>B900*C900*D900</f>
        <v/>
      </c>
    </row>
    <row r="901">
      <c r="A901" t="n">
        <v>900</v>
      </c>
      <c r="B901">
        <f>IF(RAND()&lt;0.55,1,-1)</f>
        <v/>
      </c>
      <c r="C901">
        <f>IF(B901=1,2,-1)</f>
        <v/>
      </c>
      <c r="D901" t="n">
        <v>0.01</v>
      </c>
      <c r="E901">
        <f>B901*C901*D901</f>
        <v/>
      </c>
    </row>
    <row r="902">
      <c r="A902" t="n">
        <v>901</v>
      </c>
      <c r="B902">
        <f>IF(RAND()&lt;0.55,1,-1)</f>
        <v/>
      </c>
      <c r="C902">
        <f>IF(B902=1,2,-1)</f>
        <v/>
      </c>
      <c r="D902" t="n">
        <v>0.01</v>
      </c>
      <c r="E902">
        <f>B902*C902*D902</f>
        <v/>
      </c>
    </row>
    <row r="903">
      <c r="A903" t="n">
        <v>902</v>
      </c>
      <c r="B903">
        <f>IF(RAND()&lt;0.55,1,-1)</f>
        <v/>
      </c>
      <c r="C903">
        <f>IF(B903=1,2,-1)</f>
        <v/>
      </c>
      <c r="D903" t="n">
        <v>0.01</v>
      </c>
      <c r="E903">
        <f>B903*C903*D903</f>
        <v/>
      </c>
    </row>
    <row r="904">
      <c r="A904" t="n">
        <v>903</v>
      </c>
      <c r="B904">
        <f>IF(RAND()&lt;0.55,1,-1)</f>
        <v/>
      </c>
      <c r="C904">
        <f>IF(B904=1,2,-1)</f>
        <v/>
      </c>
      <c r="D904" t="n">
        <v>0.01</v>
      </c>
      <c r="E904">
        <f>B904*C904*D904</f>
        <v/>
      </c>
    </row>
    <row r="905">
      <c r="A905" t="n">
        <v>904</v>
      </c>
      <c r="B905">
        <f>IF(RAND()&lt;0.55,1,-1)</f>
        <v/>
      </c>
      <c r="C905">
        <f>IF(B905=1,2,-1)</f>
        <v/>
      </c>
      <c r="D905" t="n">
        <v>0.01</v>
      </c>
      <c r="E905">
        <f>B905*C905*D905</f>
        <v/>
      </c>
    </row>
    <row r="906">
      <c r="A906" t="n">
        <v>905</v>
      </c>
      <c r="B906">
        <f>IF(RAND()&lt;0.55,1,-1)</f>
        <v/>
      </c>
      <c r="C906">
        <f>IF(B906=1,2,-1)</f>
        <v/>
      </c>
      <c r="D906" t="n">
        <v>0.01</v>
      </c>
      <c r="E906">
        <f>B906*C906*D906</f>
        <v/>
      </c>
    </row>
    <row r="907">
      <c r="A907" t="n">
        <v>906</v>
      </c>
      <c r="B907">
        <f>IF(RAND()&lt;0.55,1,-1)</f>
        <v/>
      </c>
      <c r="C907">
        <f>IF(B907=1,2,-1)</f>
        <v/>
      </c>
      <c r="D907" t="n">
        <v>0.01</v>
      </c>
      <c r="E907">
        <f>B907*C907*D907</f>
        <v/>
      </c>
    </row>
    <row r="908">
      <c r="A908" t="n">
        <v>907</v>
      </c>
      <c r="B908">
        <f>IF(RAND()&lt;0.55,1,-1)</f>
        <v/>
      </c>
      <c r="C908">
        <f>IF(B908=1,2,-1)</f>
        <v/>
      </c>
      <c r="D908" t="n">
        <v>0.01</v>
      </c>
      <c r="E908">
        <f>B908*C908*D908</f>
        <v/>
      </c>
    </row>
    <row r="909">
      <c r="A909" t="n">
        <v>908</v>
      </c>
      <c r="B909">
        <f>IF(RAND()&lt;0.55,1,-1)</f>
        <v/>
      </c>
      <c r="C909">
        <f>IF(B909=1,2,-1)</f>
        <v/>
      </c>
      <c r="D909" t="n">
        <v>0.01</v>
      </c>
      <c r="E909">
        <f>B909*C909*D909</f>
        <v/>
      </c>
    </row>
    <row r="910">
      <c r="A910" t="n">
        <v>909</v>
      </c>
      <c r="B910">
        <f>IF(RAND()&lt;0.55,1,-1)</f>
        <v/>
      </c>
      <c r="C910">
        <f>IF(B910=1,2,-1)</f>
        <v/>
      </c>
      <c r="D910" t="n">
        <v>0.01</v>
      </c>
      <c r="E910">
        <f>B910*C910*D910</f>
        <v/>
      </c>
    </row>
    <row r="911">
      <c r="A911" t="n">
        <v>910</v>
      </c>
      <c r="B911">
        <f>IF(RAND()&lt;0.55,1,-1)</f>
        <v/>
      </c>
      <c r="C911">
        <f>IF(B911=1,2,-1)</f>
        <v/>
      </c>
      <c r="D911" t="n">
        <v>0.01</v>
      </c>
      <c r="E911">
        <f>B911*C911*D911</f>
        <v/>
      </c>
    </row>
    <row r="912">
      <c r="A912" t="n">
        <v>911</v>
      </c>
      <c r="B912">
        <f>IF(RAND()&lt;0.55,1,-1)</f>
        <v/>
      </c>
      <c r="C912">
        <f>IF(B912=1,2,-1)</f>
        <v/>
      </c>
      <c r="D912" t="n">
        <v>0.01</v>
      </c>
      <c r="E912">
        <f>B912*C912*D912</f>
        <v/>
      </c>
    </row>
    <row r="913">
      <c r="A913" t="n">
        <v>912</v>
      </c>
      <c r="B913">
        <f>IF(RAND()&lt;0.55,1,-1)</f>
        <v/>
      </c>
      <c r="C913">
        <f>IF(B913=1,2,-1)</f>
        <v/>
      </c>
      <c r="D913" t="n">
        <v>0.01</v>
      </c>
      <c r="E913">
        <f>B913*C913*D913</f>
        <v/>
      </c>
    </row>
    <row r="914">
      <c r="A914" t="n">
        <v>913</v>
      </c>
      <c r="B914">
        <f>IF(RAND()&lt;0.55,1,-1)</f>
        <v/>
      </c>
      <c r="C914">
        <f>IF(B914=1,2,-1)</f>
        <v/>
      </c>
      <c r="D914" t="n">
        <v>0.01</v>
      </c>
      <c r="E914">
        <f>B914*C914*D914</f>
        <v/>
      </c>
    </row>
    <row r="915">
      <c r="A915" t="n">
        <v>914</v>
      </c>
      <c r="B915">
        <f>IF(RAND()&lt;0.55,1,-1)</f>
        <v/>
      </c>
      <c r="C915">
        <f>IF(B915=1,2,-1)</f>
        <v/>
      </c>
      <c r="D915" t="n">
        <v>0.01</v>
      </c>
      <c r="E915">
        <f>B915*C915*D915</f>
        <v/>
      </c>
    </row>
    <row r="916">
      <c r="A916" t="n">
        <v>915</v>
      </c>
      <c r="B916">
        <f>IF(RAND()&lt;0.55,1,-1)</f>
        <v/>
      </c>
      <c r="C916">
        <f>IF(B916=1,2,-1)</f>
        <v/>
      </c>
      <c r="D916" t="n">
        <v>0.01</v>
      </c>
      <c r="E916">
        <f>B916*C916*D916</f>
        <v/>
      </c>
    </row>
    <row r="917">
      <c r="A917" t="n">
        <v>916</v>
      </c>
      <c r="B917">
        <f>IF(RAND()&lt;0.55,1,-1)</f>
        <v/>
      </c>
      <c r="C917">
        <f>IF(B917=1,2,-1)</f>
        <v/>
      </c>
      <c r="D917" t="n">
        <v>0.01</v>
      </c>
      <c r="E917">
        <f>B917*C917*D917</f>
        <v/>
      </c>
    </row>
    <row r="918">
      <c r="A918" t="n">
        <v>917</v>
      </c>
      <c r="B918">
        <f>IF(RAND()&lt;0.55,1,-1)</f>
        <v/>
      </c>
      <c r="C918">
        <f>IF(B918=1,2,-1)</f>
        <v/>
      </c>
      <c r="D918" t="n">
        <v>0.01</v>
      </c>
      <c r="E918">
        <f>B918*C918*D918</f>
        <v/>
      </c>
    </row>
    <row r="919">
      <c r="A919" t="n">
        <v>918</v>
      </c>
      <c r="B919">
        <f>IF(RAND()&lt;0.55,1,-1)</f>
        <v/>
      </c>
      <c r="C919">
        <f>IF(B919=1,2,-1)</f>
        <v/>
      </c>
      <c r="D919" t="n">
        <v>0.01</v>
      </c>
      <c r="E919">
        <f>B919*C919*D919</f>
        <v/>
      </c>
    </row>
    <row r="920">
      <c r="A920" t="n">
        <v>919</v>
      </c>
      <c r="B920">
        <f>IF(RAND()&lt;0.55,1,-1)</f>
        <v/>
      </c>
      <c r="C920">
        <f>IF(B920=1,2,-1)</f>
        <v/>
      </c>
      <c r="D920" t="n">
        <v>0.01</v>
      </c>
      <c r="E920">
        <f>B920*C920*D920</f>
        <v/>
      </c>
    </row>
    <row r="921">
      <c r="A921" t="n">
        <v>920</v>
      </c>
      <c r="B921">
        <f>IF(RAND()&lt;0.55,1,-1)</f>
        <v/>
      </c>
      <c r="C921">
        <f>IF(B921=1,2,-1)</f>
        <v/>
      </c>
      <c r="D921" t="n">
        <v>0.01</v>
      </c>
      <c r="E921">
        <f>B921*C921*D921</f>
        <v/>
      </c>
    </row>
    <row r="922">
      <c r="A922" t="n">
        <v>921</v>
      </c>
      <c r="B922">
        <f>IF(RAND()&lt;0.55,1,-1)</f>
        <v/>
      </c>
      <c r="C922">
        <f>IF(B922=1,2,-1)</f>
        <v/>
      </c>
      <c r="D922" t="n">
        <v>0.01</v>
      </c>
      <c r="E922">
        <f>B922*C922*D922</f>
        <v/>
      </c>
    </row>
    <row r="923">
      <c r="A923" t="n">
        <v>922</v>
      </c>
      <c r="B923">
        <f>IF(RAND()&lt;0.55,1,-1)</f>
        <v/>
      </c>
      <c r="C923">
        <f>IF(B923=1,2,-1)</f>
        <v/>
      </c>
      <c r="D923" t="n">
        <v>0.01</v>
      </c>
      <c r="E923">
        <f>B923*C923*D923</f>
        <v/>
      </c>
    </row>
    <row r="924">
      <c r="A924" t="n">
        <v>923</v>
      </c>
      <c r="B924">
        <f>IF(RAND()&lt;0.55,1,-1)</f>
        <v/>
      </c>
      <c r="C924">
        <f>IF(B924=1,2,-1)</f>
        <v/>
      </c>
      <c r="D924" t="n">
        <v>0.01</v>
      </c>
      <c r="E924">
        <f>B924*C924*D924</f>
        <v/>
      </c>
    </row>
    <row r="925">
      <c r="A925" t="n">
        <v>924</v>
      </c>
      <c r="B925">
        <f>IF(RAND()&lt;0.55,1,-1)</f>
        <v/>
      </c>
      <c r="C925">
        <f>IF(B925=1,2,-1)</f>
        <v/>
      </c>
      <c r="D925" t="n">
        <v>0.01</v>
      </c>
      <c r="E925">
        <f>B925*C925*D925</f>
        <v/>
      </c>
    </row>
    <row r="926">
      <c r="A926" t="n">
        <v>925</v>
      </c>
      <c r="B926">
        <f>IF(RAND()&lt;0.55,1,-1)</f>
        <v/>
      </c>
      <c r="C926">
        <f>IF(B926=1,2,-1)</f>
        <v/>
      </c>
      <c r="D926" t="n">
        <v>0.01</v>
      </c>
      <c r="E926">
        <f>B926*C926*D926</f>
        <v/>
      </c>
    </row>
    <row r="927">
      <c r="A927" t="n">
        <v>926</v>
      </c>
      <c r="B927">
        <f>IF(RAND()&lt;0.55,1,-1)</f>
        <v/>
      </c>
      <c r="C927">
        <f>IF(B927=1,2,-1)</f>
        <v/>
      </c>
      <c r="D927" t="n">
        <v>0.01</v>
      </c>
      <c r="E927">
        <f>B927*C927*D927</f>
        <v/>
      </c>
    </row>
    <row r="928">
      <c r="A928" t="n">
        <v>927</v>
      </c>
      <c r="B928">
        <f>IF(RAND()&lt;0.55,1,-1)</f>
        <v/>
      </c>
      <c r="C928">
        <f>IF(B928=1,2,-1)</f>
        <v/>
      </c>
      <c r="D928" t="n">
        <v>0.01</v>
      </c>
      <c r="E928">
        <f>B928*C928*D928</f>
        <v/>
      </c>
    </row>
    <row r="929">
      <c r="A929" t="n">
        <v>928</v>
      </c>
      <c r="B929">
        <f>IF(RAND()&lt;0.55,1,-1)</f>
        <v/>
      </c>
      <c r="C929">
        <f>IF(B929=1,2,-1)</f>
        <v/>
      </c>
      <c r="D929" t="n">
        <v>0.01</v>
      </c>
      <c r="E929">
        <f>B929*C929*D929</f>
        <v/>
      </c>
    </row>
    <row r="930">
      <c r="A930" t="n">
        <v>929</v>
      </c>
      <c r="B930">
        <f>IF(RAND()&lt;0.55,1,-1)</f>
        <v/>
      </c>
      <c r="C930">
        <f>IF(B930=1,2,-1)</f>
        <v/>
      </c>
      <c r="D930" t="n">
        <v>0.01</v>
      </c>
      <c r="E930">
        <f>B930*C930*D930</f>
        <v/>
      </c>
    </row>
    <row r="931">
      <c r="A931" t="n">
        <v>930</v>
      </c>
      <c r="B931">
        <f>IF(RAND()&lt;0.55,1,-1)</f>
        <v/>
      </c>
      <c r="C931">
        <f>IF(B931=1,2,-1)</f>
        <v/>
      </c>
      <c r="D931" t="n">
        <v>0.01</v>
      </c>
      <c r="E931">
        <f>B931*C931*D931</f>
        <v/>
      </c>
    </row>
    <row r="932">
      <c r="A932" t="n">
        <v>931</v>
      </c>
      <c r="B932">
        <f>IF(RAND()&lt;0.55,1,-1)</f>
        <v/>
      </c>
      <c r="C932">
        <f>IF(B932=1,2,-1)</f>
        <v/>
      </c>
      <c r="D932" t="n">
        <v>0.01</v>
      </c>
      <c r="E932">
        <f>B932*C932*D932</f>
        <v/>
      </c>
    </row>
    <row r="933">
      <c r="A933" t="n">
        <v>932</v>
      </c>
      <c r="B933">
        <f>IF(RAND()&lt;0.55,1,-1)</f>
        <v/>
      </c>
      <c r="C933">
        <f>IF(B933=1,2,-1)</f>
        <v/>
      </c>
      <c r="D933" t="n">
        <v>0.01</v>
      </c>
      <c r="E933">
        <f>B933*C933*D933</f>
        <v/>
      </c>
    </row>
    <row r="934">
      <c r="A934" t="n">
        <v>933</v>
      </c>
      <c r="B934">
        <f>IF(RAND()&lt;0.55,1,-1)</f>
        <v/>
      </c>
      <c r="C934">
        <f>IF(B934=1,2,-1)</f>
        <v/>
      </c>
      <c r="D934" t="n">
        <v>0.01</v>
      </c>
      <c r="E934">
        <f>B934*C934*D934</f>
        <v/>
      </c>
    </row>
    <row r="935">
      <c r="A935" t="n">
        <v>934</v>
      </c>
      <c r="B935">
        <f>IF(RAND()&lt;0.55,1,-1)</f>
        <v/>
      </c>
      <c r="C935">
        <f>IF(B935=1,2,-1)</f>
        <v/>
      </c>
      <c r="D935" t="n">
        <v>0.01</v>
      </c>
      <c r="E935">
        <f>B935*C935*D935</f>
        <v/>
      </c>
    </row>
    <row r="936">
      <c r="A936" t="n">
        <v>935</v>
      </c>
      <c r="B936">
        <f>IF(RAND()&lt;0.55,1,-1)</f>
        <v/>
      </c>
      <c r="C936">
        <f>IF(B936=1,2,-1)</f>
        <v/>
      </c>
      <c r="D936" t="n">
        <v>0.01</v>
      </c>
      <c r="E936">
        <f>B936*C936*D936</f>
        <v/>
      </c>
    </row>
    <row r="937">
      <c r="A937" t="n">
        <v>936</v>
      </c>
      <c r="B937">
        <f>IF(RAND()&lt;0.55,1,-1)</f>
        <v/>
      </c>
      <c r="C937">
        <f>IF(B937=1,2,-1)</f>
        <v/>
      </c>
      <c r="D937" t="n">
        <v>0.01</v>
      </c>
      <c r="E937">
        <f>B937*C937*D937</f>
        <v/>
      </c>
    </row>
    <row r="938">
      <c r="A938" t="n">
        <v>937</v>
      </c>
      <c r="B938">
        <f>IF(RAND()&lt;0.55,1,-1)</f>
        <v/>
      </c>
      <c r="C938">
        <f>IF(B938=1,2,-1)</f>
        <v/>
      </c>
      <c r="D938" t="n">
        <v>0.01</v>
      </c>
      <c r="E938">
        <f>B938*C938*D938</f>
        <v/>
      </c>
    </row>
    <row r="939">
      <c r="A939" t="n">
        <v>938</v>
      </c>
      <c r="B939">
        <f>IF(RAND()&lt;0.55,1,-1)</f>
        <v/>
      </c>
      <c r="C939">
        <f>IF(B939=1,2,-1)</f>
        <v/>
      </c>
      <c r="D939" t="n">
        <v>0.01</v>
      </c>
      <c r="E939">
        <f>B939*C939*D939</f>
        <v/>
      </c>
    </row>
    <row r="940">
      <c r="A940" t="n">
        <v>939</v>
      </c>
      <c r="B940">
        <f>IF(RAND()&lt;0.55,1,-1)</f>
        <v/>
      </c>
      <c r="C940">
        <f>IF(B940=1,2,-1)</f>
        <v/>
      </c>
      <c r="D940" t="n">
        <v>0.01</v>
      </c>
      <c r="E940">
        <f>B940*C940*D940</f>
        <v/>
      </c>
    </row>
    <row r="941">
      <c r="A941" t="n">
        <v>940</v>
      </c>
      <c r="B941">
        <f>IF(RAND()&lt;0.55,1,-1)</f>
        <v/>
      </c>
      <c r="C941">
        <f>IF(B941=1,2,-1)</f>
        <v/>
      </c>
      <c r="D941" t="n">
        <v>0.01</v>
      </c>
      <c r="E941">
        <f>B941*C941*D941</f>
        <v/>
      </c>
    </row>
    <row r="942">
      <c r="A942" t="n">
        <v>941</v>
      </c>
      <c r="B942">
        <f>IF(RAND()&lt;0.55,1,-1)</f>
        <v/>
      </c>
      <c r="C942">
        <f>IF(B942=1,2,-1)</f>
        <v/>
      </c>
      <c r="D942" t="n">
        <v>0.01</v>
      </c>
      <c r="E942">
        <f>B942*C942*D942</f>
        <v/>
      </c>
    </row>
    <row r="943">
      <c r="A943" t="n">
        <v>942</v>
      </c>
      <c r="B943">
        <f>IF(RAND()&lt;0.55,1,-1)</f>
        <v/>
      </c>
      <c r="C943">
        <f>IF(B943=1,2,-1)</f>
        <v/>
      </c>
      <c r="D943" t="n">
        <v>0.01</v>
      </c>
      <c r="E943">
        <f>B943*C943*D943</f>
        <v/>
      </c>
    </row>
    <row r="944">
      <c r="A944" t="n">
        <v>943</v>
      </c>
      <c r="B944">
        <f>IF(RAND()&lt;0.55,1,-1)</f>
        <v/>
      </c>
      <c r="C944">
        <f>IF(B944=1,2,-1)</f>
        <v/>
      </c>
      <c r="D944" t="n">
        <v>0.01</v>
      </c>
      <c r="E944">
        <f>B944*C944*D944</f>
        <v/>
      </c>
    </row>
    <row r="945">
      <c r="A945" t="n">
        <v>944</v>
      </c>
      <c r="B945">
        <f>IF(RAND()&lt;0.55,1,-1)</f>
        <v/>
      </c>
      <c r="C945">
        <f>IF(B945=1,2,-1)</f>
        <v/>
      </c>
      <c r="D945" t="n">
        <v>0.01</v>
      </c>
      <c r="E945">
        <f>B945*C945*D945</f>
        <v/>
      </c>
    </row>
    <row r="946">
      <c r="A946" t="n">
        <v>945</v>
      </c>
      <c r="B946">
        <f>IF(RAND()&lt;0.55,1,-1)</f>
        <v/>
      </c>
      <c r="C946">
        <f>IF(B946=1,2,-1)</f>
        <v/>
      </c>
      <c r="D946" t="n">
        <v>0.01</v>
      </c>
      <c r="E946">
        <f>B946*C946*D946</f>
        <v/>
      </c>
    </row>
    <row r="947">
      <c r="A947" t="n">
        <v>946</v>
      </c>
      <c r="B947">
        <f>IF(RAND()&lt;0.55,1,-1)</f>
        <v/>
      </c>
      <c r="C947">
        <f>IF(B947=1,2,-1)</f>
        <v/>
      </c>
      <c r="D947" t="n">
        <v>0.01</v>
      </c>
      <c r="E947">
        <f>B947*C947*D947</f>
        <v/>
      </c>
    </row>
    <row r="948">
      <c r="A948" t="n">
        <v>947</v>
      </c>
      <c r="B948">
        <f>IF(RAND()&lt;0.55,1,-1)</f>
        <v/>
      </c>
      <c r="C948">
        <f>IF(B948=1,2,-1)</f>
        <v/>
      </c>
      <c r="D948" t="n">
        <v>0.01</v>
      </c>
      <c r="E948">
        <f>B948*C948*D948</f>
        <v/>
      </c>
    </row>
    <row r="949">
      <c r="A949" t="n">
        <v>948</v>
      </c>
      <c r="B949">
        <f>IF(RAND()&lt;0.55,1,-1)</f>
        <v/>
      </c>
      <c r="C949">
        <f>IF(B949=1,2,-1)</f>
        <v/>
      </c>
      <c r="D949" t="n">
        <v>0.01</v>
      </c>
      <c r="E949">
        <f>B949*C949*D949</f>
        <v/>
      </c>
    </row>
    <row r="950">
      <c r="A950" t="n">
        <v>949</v>
      </c>
      <c r="B950">
        <f>IF(RAND()&lt;0.55,1,-1)</f>
        <v/>
      </c>
      <c r="C950">
        <f>IF(B950=1,2,-1)</f>
        <v/>
      </c>
      <c r="D950" t="n">
        <v>0.01</v>
      </c>
      <c r="E950">
        <f>B950*C950*D950</f>
        <v/>
      </c>
    </row>
    <row r="951">
      <c r="A951" t="n">
        <v>950</v>
      </c>
      <c r="B951">
        <f>IF(RAND()&lt;0.55,1,-1)</f>
        <v/>
      </c>
      <c r="C951">
        <f>IF(B951=1,2,-1)</f>
        <v/>
      </c>
      <c r="D951" t="n">
        <v>0.01</v>
      </c>
      <c r="E951">
        <f>B951*C951*D951</f>
        <v/>
      </c>
    </row>
    <row r="952">
      <c r="A952" t="n">
        <v>951</v>
      </c>
      <c r="B952">
        <f>IF(RAND()&lt;0.55,1,-1)</f>
        <v/>
      </c>
      <c r="C952">
        <f>IF(B952=1,2,-1)</f>
        <v/>
      </c>
      <c r="D952" t="n">
        <v>0.01</v>
      </c>
      <c r="E952">
        <f>B952*C952*D952</f>
        <v/>
      </c>
    </row>
    <row r="953">
      <c r="A953" t="n">
        <v>952</v>
      </c>
      <c r="B953">
        <f>IF(RAND()&lt;0.55,1,-1)</f>
        <v/>
      </c>
      <c r="C953">
        <f>IF(B953=1,2,-1)</f>
        <v/>
      </c>
      <c r="D953" t="n">
        <v>0.01</v>
      </c>
      <c r="E953">
        <f>B953*C953*D953</f>
        <v/>
      </c>
    </row>
    <row r="954">
      <c r="A954" t="n">
        <v>953</v>
      </c>
      <c r="B954">
        <f>IF(RAND()&lt;0.55,1,-1)</f>
        <v/>
      </c>
      <c r="C954">
        <f>IF(B954=1,2,-1)</f>
        <v/>
      </c>
      <c r="D954" t="n">
        <v>0.01</v>
      </c>
      <c r="E954">
        <f>B954*C954*D954</f>
        <v/>
      </c>
    </row>
    <row r="955">
      <c r="A955" t="n">
        <v>954</v>
      </c>
      <c r="B955">
        <f>IF(RAND()&lt;0.55,1,-1)</f>
        <v/>
      </c>
      <c r="C955">
        <f>IF(B955=1,2,-1)</f>
        <v/>
      </c>
      <c r="D955" t="n">
        <v>0.01</v>
      </c>
      <c r="E955">
        <f>B955*C955*D955</f>
        <v/>
      </c>
    </row>
    <row r="956">
      <c r="A956" t="n">
        <v>955</v>
      </c>
      <c r="B956">
        <f>IF(RAND()&lt;0.55,1,-1)</f>
        <v/>
      </c>
      <c r="C956">
        <f>IF(B956=1,2,-1)</f>
        <v/>
      </c>
      <c r="D956" t="n">
        <v>0.01</v>
      </c>
      <c r="E956">
        <f>B956*C956*D956</f>
        <v/>
      </c>
    </row>
    <row r="957">
      <c r="A957" t="n">
        <v>956</v>
      </c>
      <c r="B957">
        <f>IF(RAND()&lt;0.55,1,-1)</f>
        <v/>
      </c>
      <c r="C957">
        <f>IF(B957=1,2,-1)</f>
        <v/>
      </c>
      <c r="D957" t="n">
        <v>0.01</v>
      </c>
      <c r="E957">
        <f>B957*C957*D957</f>
        <v/>
      </c>
    </row>
    <row r="958">
      <c r="A958" t="n">
        <v>957</v>
      </c>
      <c r="B958">
        <f>IF(RAND()&lt;0.55,1,-1)</f>
        <v/>
      </c>
      <c r="C958">
        <f>IF(B958=1,2,-1)</f>
        <v/>
      </c>
      <c r="D958" t="n">
        <v>0.01</v>
      </c>
      <c r="E958">
        <f>B958*C958*D958</f>
        <v/>
      </c>
    </row>
    <row r="959">
      <c r="A959" t="n">
        <v>958</v>
      </c>
      <c r="B959">
        <f>IF(RAND()&lt;0.55,1,-1)</f>
        <v/>
      </c>
      <c r="C959">
        <f>IF(B959=1,2,-1)</f>
        <v/>
      </c>
      <c r="D959" t="n">
        <v>0.01</v>
      </c>
      <c r="E959">
        <f>B959*C959*D959</f>
        <v/>
      </c>
    </row>
    <row r="960">
      <c r="A960" t="n">
        <v>959</v>
      </c>
      <c r="B960">
        <f>IF(RAND()&lt;0.55,1,-1)</f>
        <v/>
      </c>
      <c r="C960">
        <f>IF(B960=1,2,-1)</f>
        <v/>
      </c>
      <c r="D960" t="n">
        <v>0.01</v>
      </c>
      <c r="E960">
        <f>B960*C960*D960</f>
        <v/>
      </c>
    </row>
    <row r="961">
      <c r="A961" t="n">
        <v>960</v>
      </c>
      <c r="B961">
        <f>IF(RAND()&lt;0.55,1,-1)</f>
        <v/>
      </c>
      <c r="C961">
        <f>IF(B961=1,2,-1)</f>
        <v/>
      </c>
      <c r="D961" t="n">
        <v>0.01</v>
      </c>
      <c r="E961">
        <f>B961*C961*D961</f>
        <v/>
      </c>
    </row>
    <row r="962">
      <c r="A962" t="n">
        <v>961</v>
      </c>
      <c r="B962">
        <f>IF(RAND()&lt;0.55,1,-1)</f>
        <v/>
      </c>
      <c r="C962">
        <f>IF(B962=1,2,-1)</f>
        <v/>
      </c>
      <c r="D962" t="n">
        <v>0.01</v>
      </c>
      <c r="E962">
        <f>B962*C962*D962</f>
        <v/>
      </c>
    </row>
    <row r="963">
      <c r="A963" t="n">
        <v>962</v>
      </c>
      <c r="B963">
        <f>IF(RAND()&lt;0.55,1,-1)</f>
        <v/>
      </c>
      <c r="C963">
        <f>IF(B963=1,2,-1)</f>
        <v/>
      </c>
      <c r="D963" t="n">
        <v>0.01</v>
      </c>
      <c r="E963">
        <f>B963*C963*D963</f>
        <v/>
      </c>
    </row>
    <row r="964">
      <c r="A964" t="n">
        <v>963</v>
      </c>
      <c r="B964">
        <f>IF(RAND()&lt;0.55,1,-1)</f>
        <v/>
      </c>
      <c r="C964">
        <f>IF(B964=1,2,-1)</f>
        <v/>
      </c>
      <c r="D964" t="n">
        <v>0.01</v>
      </c>
      <c r="E964">
        <f>B964*C964*D964</f>
        <v/>
      </c>
    </row>
    <row r="965">
      <c r="A965" t="n">
        <v>964</v>
      </c>
      <c r="B965">
        <f>IF(RAND()&lt;0.55,1,-1)</f>
        <v/>
      </c>
      <c r="C965">
        <f>IF(B965=1,2,-1)</f>
        <v/>
      </c>
      <c r="D965" t="n">
        <v>0.01</v>
      </c>
      <c r="E965">
        <f>B965*C965*D965</f>
        <v/>
      </c>
    </row>
    <row r="966">
      <c r="A966" t="n">
        <v>965</v>
      </c>
      <c r="B966">
        <f>IF(RAND()&lt;0.55,1,-1)</f>
        <v/>
      </c>
      <c r="C966">
        <f>IF(B966=1,2,-1)</f>
        <v/>
      </c>
      <c r="D966" t="n">
        <v>0.01</v>
      </c>
      <c r="E966">
        <f>B966*C966*D966</f>
        <v/>
      </c>
    </row>
    <row r="967">
      <c r="A967" t="n">
        <v>966</v>
      </c>
      <c r="B967">
        <f>IF(RAND()&lt;0.55,1,-1)</f>
        <v/>
      </c>
      <c r="C967">
        <f>IF(B967=1,2,-1)</f>
        <v/>
      </c>
      <c r="D967" t="n">
        <v>0.01</v>
      </c>
      <c r="E967">
        <f>B967*C967*D967</f>
        <v/>
      </c>
    </row>
    <row r="968">
      <c r="A968" t="n">
        <v>967</v>
      </c>
      <c r="B968">
        <f>IF(RAND()&lt;0.55,1,-1)</f>
        <v/>
      </c>
      <c r="C968">
        <f>IF(B968=1,2,-1)</f>
        <v/>
      </c>
      <c r="D968" t="n">
        <v>0.01</v>
      </c>
      <c r="E968">
        <f>B968*C968*D968</f>
        <v/>
      </c>
    </row>
    <row r="969">
      <c r="A969" t="n">
        <v>968</v>
      </c>
      <c r="B969">
        <f>IF(RAND()&lt;0.55,1,-1)</f>
        <v/>
      </c>
      <c r="C969">
        <f>IF(B969=1,2,-1)</f>
        <v/>
      </c>
      <c r="D969" t="n">
        <v>0.01</v>
      </c>
      <c r="E969">
        <f>B969*C969*D969</f>
        <v/>
      </c>
    </row>
    <row r="970">
      <c r="A970" t="n">
        <v>969</v>
      </c>
      <c r="B970">
        <f>IF(RAND()&lt;0.55,1,-1)</f>
        <v/>
      </c>
      <c r="C970">
        <f>IF(B970=1,2,-1)</f>
        <v/>
      </c>
      <c r="D970" t="n">
        <v>0.01</v>
      </c>
      <c r="E970">
        <f>B970*C970*D970</f>
        <v/>
      </c>
    </row>
    <row r="971">
      <c r="A971" t="n">
        <v>970</v>
      </c>
      <c r="B971">
        <f>IF(RAND()&lt;0.55,1,-1)</f>
        <v/>
      </c>
      <c r="C971">
        <f>IF(B971=1,2,-1)</f>
        <v/>
      </c>
      <c r="D971" t="n">
        <v>0.01</v>
      </c>
      <c r="E971">
        <f>B971*C971*D971</f>
        <v/>
      </c>
    </row>
    <row r="972">
      <c r="A972" t="n">
        <v>971</v>
      </c>
      <c r="B972">
        <f>IF(RAND()&lt;0.55,1,-1)</f>
        <v/>
      </c>
      <c r="C972">
        <f>IF(B972=1,2,-1)</f>
        <v/>
      </c>
      <c r="D972" t="n">
        <v>0.01</v>
      </c>
      <c r="E972">
        <f>B972*C972*D972</f>
        <v/>
      </c>
    </row>
    <row r="973">
      <c r="A973" t="n">
        <v>972</v>
      </c>
      <c r="B973">
        <f>IF(RAND()&lt;0.55,1,-1)</f>
        <v/>
      </c>
      <c r="C973">
        <f>IF(B973=1,2,-1)</f>
        <v/>
      </c>
      <c r="D973" t="n">
        <v>0.01</v>
      </c>
      <c r="E973">
        <f>B973*C973*D973</f>
        <v/>
      </c>
    </row>
    <row r="974">
      <c r="A974" t="n">
        <v>973</v>
      </c>
      <c r="B974">
        <f>IF(RAND()&lt;0.55,1,-1)</f>
        <v/>
      </c>
      <c r="C974">
        <f>IF(B974=1,2,-1)</f>
        <v/>
      </c>
      <c r="D974" t="n">
        <v>0.01</v>
      </c>
      <c r="E974">
        <f>B974*C974*D974</f>
        <v/>
      </c>
    </row>
    <row r="975">
      <c r="A975" t="n">
        <v>974</v>
      </c>
      <c r="B975">
        <f>IF(RAND()&lt;0.55,1,-1)</f>
        <v/>
      </c>
      <c r="C975">
        <f>IF(B975=1,2,-1)</f>
        <v/>
      </c>
      <c r="D975" t="n">
        <v>0.01</v>
      </c>
      <c r="E975">
        <f>B975*C975*D975</f>
        <v/>
      </c>
    </row>
    <row r="976">
      <c r="A976" t="n">
        <v>975</v>
      </c>
      <c r="B976">
        <f>IF(RAND()&lt;0.55,1,-1)</f>
        <v/>
      </c>
      <c r="C976">
        <f>IF(B976=1,2,-1)</f>
        <v/>
      </c>
      <c r="D976" t="n">
        <v>0.01</v>
      </c>
      <c r="E976">
        <f>B976*C976*D976</f>
        <v/>
      </c>
    </row>
    <row r="977">
      <c r="A977" t="n">
        <v>976</v>
      </c>
      <c r="B977">
        <f>IF(RAND()&lt;0.55,1,-1)</f>
        <v/>
      </c>
      <c r="C977">
        <f>IF(B977=1,2,-1)</f>
        <v/>
      </c>
      <c r="D977" t="n">
        <v>0.01</v>
      </c>
      <c r="E977">
        <f>B977*C977*D977</f>
        <v/>
      </c>
    </row>
    <row r="978">
      <c r="A978" t="n">
        <v>977</v>
      </c>
      <c r="B978">
        <f>IF(RAND()&lt;0.55,1,-1)</f>
        <v/>
      </c>
      <c r="C978">
        <f>IF(B978=1,2,-1)</f>
        <v/>
      </c>
      <c r="D978" t="n">
        <v>0.01</v>
      </c>
      <c r="E978">
        <f>B978*C978*D978</f>
        <v/>
      </c>
    </row>
    <row r="979">
      <c r="A979" t="n">
        <v>978</v>
      </c>
      <c r="B979">
        <f>IF(RAND()&lt;0.55,1,-1)</f>
        <v/>
      </c>
      <c r="C979">
        <f>IF(B979=1,2,-1)</f>
        <v/>
      </c>
      <c r="D979" t="n">
        <v>0.01</v>
      </c>
      <c r="E979">
        <f>B979*C979*D979</f>
        <v/>
      </c>
    </row>
    <row r="980">
      <c r="A980" t="n">
        <v>979</v>
      </c>
      <c r="B980">
        <f>IF(RAND()&lt;0.55,1,-1)</f>
        <v/>
      </c>
      <c r="C980">
        <f>IF(B980=1,2,-1)</f>
        <v/>
      </c>
      <c r="D980" t="n">
        <v>0.01</v>
      </c>
      <c r="E980">
        <f>B980*C980*D980</f>
        <v/>
      </c>
    </row>
    <row r="981">
      <c r="A981" t="n">
        <v>980</v>
      </c>
      <c r="B981">
        <f>IF(RAND()&lt;0.55,1,-1)</f>
        <v/>
      </c>
      <c r="C981">
        <f>IF(B981=1,2,-1)</f>
        <v/>
      </c>
      <c r="D981" t="n">
        <v>0.01</v>
      </c>
      <c r="E981">
        <f>B981*C981*D981</f>
        <v/>
      </c>
    </row>
    <row r="982">
      <c r="A982" t="n">
        <v>981</v>
      </c>
      <c r="B982">
        <f>IF(RAND()&lt;0.55,1,-1)</f>
        <v/>
      </c>
      <c r="C982">
        <f>IF(B982=1,2,-1)</f>
        <v/>
      </c>
      <c r="D982" t="n">
        <v>0.01</v>
      </c>
      <c r="E982">
        <f>B982*C982*D982</f>
        <v/>
      </c>
    </row>
    <row r="983">
      <c r="A983" t="n">
        <v>982</v>
      </c>
      <c r="B983">
        <f>IF(RAND()&lt;0.55,1,-1)</f>
        <v/>
      </c>
      <c r="C983">
        <f>IF(B983=1,2,-1)</f>
        <v/>
      </c>
      <c r="D983" t="n">
        <v>0.01</v>
      </c>
      <c r="E983">
        <f>B983*C983*D983</f>
        <v/>
      </c>
    </row>
    <row r="984">
      <c r="A984" t="n">
        <v>983</v>
      </c>
      <c r="B984">
        <f>IF(RAND()&lt;0.55,1,-1)</f>
        <v/>
      </c>
      <c r="C984">
        <f>IF(B984=1,2,-1)</f>
        <v/>
      </c>
      <c r="D984" t="n">
        <v>0.01</v>
      </c>
      <c r="E984">
        <f>B984*C984*D984</f>
        <v/>
      </c>
    </row>
    <row r="985">
      <c r="A985" t="n">
        <v>984</v>
      </c>
      <c r="B985">
        <f>IF(RAND()&lt;0.55,1,-1)</f>
        <v/>
      </c>
      <c r="C985">
        <f>IF(B985=1,2,-1)</f>
        <v/>
      </c>
      <c r="D985" t="n">
        <v>0.01</v>
      </c>
      <c r="E985">
        <f>B985*C985*D985</f>
        <v/>
      </c>
    </row>
    <row r="986">
      <c r="A986" t="n">
        <v>985</v>
      </c>
      <c r="B986">
        <f>IF(RAND()&lt;0.55,1,-1)</f>
        <v/>
      </c>
      <c r="C986">
        <f>IF(B986=1,2,-1)</f>
        <v/>
      </c>
      <c r="D986" t="n">
        <v>0.01</v>
      </c>
      <c r="E986">
        <f>B986*C986*D986</f>
        <v/>
      </c>
    </row>
    <row r="987">
      <c r="A987" t="n">
        <v>986</v>
      </c>
      <c r="B987">
        <f>IF(RAND()&lt;0.55,1,-1)</f>
        <v/>
      </c>
      <c r="C987">
        <f>IF(B987=1,2,-1)</f>
        <v/>
      </c>
      <c r="D987" t="n">
        <v>0.01</v>
      </c>
      <c r="E987">
        <f>B987*C987*D987</f>
        <v/>
      </c>
    </row>
    <row r="988">
      <c r="A988" t="n">
        <v>987</v>
      </c>
      <c r="B988">
        <f>IF(RAND()&lt;0.55,1,-1)</f>
        <v/>
      </c>
      <c r="C988">
        <f>IF(B988=1,2,-1)</f>
        <v/>
      </c>
      <c r="D988" t="n">
        <v>0.01</v>
      </c>
      <c r="E988">
        <f>B988*C988*D988</f>
        <v/>
      </c>
    </row>
    <row r="989">
      <c r="A989" t="n">
        <v>988</v>
      </c>
      <c r="B989">
        <f>IF(RAND()&lt;0.55,1,-1)</f>
        <v/>
      </c>
      <c r="C989">
        <f>IF(B989=1,2,-1)</f>
        <v/>
      </c>
      <c r="D989" t="n">
        <v>0.01</v>
      </c>
      <c r="E989">
        <f>B989*C989*D989</f>
        <v/>
      </c>
    </row>
    <row r="990">
      <c r="A990" t="n">
        <v>989</v>
      </c>
      <c r="B990">
        <f>IF(RAND()&lt;0.55,1,-1)</f>
        <v/>
      </c>
      <c r="C990">
        <f>IF(B990=1,2,-1)</f>
        <v/>
      </c>
      <c r="D990" t="n">
        <v>0.01</v>
      </c>
      <c r="E990">
        <f>B990*C990*D990</f>
        <v/>
      </c>
    </row>
    <row r="991">
      <c r="A991" t="n">
        <v>990</v>
      </c>
      <c r="B991">
        <f>IF(RAND()&lt;0.55,1,-1)</f>
        <v/>
      </c>
      <c r="C991">
        <f>IF(B991=1,2,-1)</f>
        <v/>
      </c>
      <c r="D991" t="n">
        <v>0.01</v>
      </c>
      <c r="E991">
        <f>B991*C991*D991</f>
        <v/>
      </c>
    </row>
    <row r="992">
      <c r="A992" t="n">
        <v>991</v>
      </c>
      <c r="B992">
        <f>IF(RAND()&lt;0.55,1,-1)</f>
        <v/>
      </c>
      <c r="C992">
        <f>IF(B992=1,2,-1)</f>
        <v/>
      </c>
      <c r="D992" t="n">
        <v>0.01</v>
      </c>
      <c r="E992">
        <f>B992*C992*D992</f>
        <v/>
      </c>
    </row>
    <row r="993">
      <c r="A993" t="n">
        <v>992</v>
      </c>
      <c r="B993">
        <f>IF(RAND()&lt;0.55,1,-1)</f>
        <v/>
      </c>
      <c r="C993">
        <f>IF(B993=1,2,-1)</f>
        <v/>
      </c>
      <c r="D993" t="n">
        <v>0.01</v>
      </c>
      <c r="E993">
        <f>B993*C993*D993</f>
        <v/>
      </c>
    </row>
    <row r="994">
      <c r="A994" t="n">
        <v>993</v>
      </c>
      <c r="B994">
        <f>IF(RAND()&lt;0.55,1,-1)</f>
        <v/>
      </c>
      <c r="C994">
        <f>IF(B994=1,2,-1)</f>
        <v/>
      </c>
      <c r="D994" t="n">
        <v>0.01</v>
      </c>
      <c r="E994">
        <f>B994*C994*D994</f>
        <v/>
      </c>
    </row>
    <row r="995">
      <c r="A995" t="n">
        <v>994</v>
      </c>
      <c r="B995">
        <f>IF(RAND()&lt;0.55,1,-1)</f>
        <v/>
      </c>
      <c r="C995">
        <f>IF(B995=1,2,-1)</f>
        <v/>
      </c>
      <c r="D995" t="n">
        <v>0.01</v>
      </c>
      <c r="E995">
        <f>B995*C995*D995</f>
        <v/>
      </c>
    </row>
    <row r="996">
      <c r="A996" t="n">
        <v>995</v>
      </c>
      <c r="B996">
        <f>IF(RAND()&lt;0.55,1,-1)</f>
        <v/>
      </c>
      <c r="C996">
        <f>IF(B996=1,2,-1)</f>
        <v/>
      </c>
      <c r="D996" t="n">
        <v>0.01</v>
      </c>
      <c r="E996">
        <f>B996*C996*D996</f>
        <v/>
      </c>
    </row>
    <row r="997">
      <c r="A997" t="n">
        <v>996</v>
      </c>
      <c r="B997">
        <f>IF(RAND()&lt;0.55,1,-1)</f>
        <v/>
      </c>
      <c r="C997">
        <f>IF(B997=1,2,-1)</f>
        <v/>
      </c>
      <c r="D997" t="n">
        <v>0.01</v>
      </c>
      <c r="E997">
        <f>B997*C997*D997</f>
        <v/>
      </c>
    </row>
    <row r="998">
      <c r="A998" t="n">
        <v>997</v>
      </c>
      <c r="B998">
        <f>IF(RAND()&lt;0.55,1,-1)</f>
        <v/>
      </c>
      <c r="C998">
        <f>IF(B998=1,2,-1)</f>
        <v/>
      </c>
      <c r="D998" t="n">
        <v>0.01</v>
      </c>
      <c r="E998">
        <f>B998*C998*D998</f>
        <v/>
      </c>
    </row>
    <row r="999">
      <c r="A999" t="n">
        <v>998</v>
      </c>
      <c r="B999">
        <f>IF(RAND()&lt;0.55,1,-1)</f>
        <v/>
      </c>
      <c r="C999">
        <f>IF(B999=1,2,-1)</f>
        <v/>
      </c>
      <c r="D999" t="n">
        <v>0.01</v>
      </c>
      <c r="E999">
        <f>B999*C999*D999</f>
        <v/>
      </c>
    </row>
    <row r="1000">
      <c r="A1000" t="n">
        <v>999</v>
      </c>
      <c r="B1000">
        <f>IF(RAND()&lt;0.55,1,-1)</f>
        <v/>
      </c>
      <c r="C1000">
        <f>IF(B1000=1,2,-1)</f>
        <v/>
      </c>
      <c r="D1000" t="n">
        <v>0.01</v>
      </c>
      <c r="E1000">
        <f>B1000*C1000*D1000</f>
        <v/>
      </c>
    </row>
    <row r="1001">
      <c r="A1001" t="n">
        <v>1000</v>
      </c>
      <c r="B1001">
        <f>IF(RAND()&lt;0.55,1,-1)</f>
        <v/>
      </c>
      <c r="C1001">
        <f>IF(B1001=1,2,-1)</f>
        <v/>
      </c>
      <c r="D1001" t="n">
        <v>0.01</v>
      </c>
      <c r="E1001">
        <f>B1001*C1001*D1001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Trend Weight</t>
        </is>
      </c>
      <c r="C1" s="1" t="inlineStr">
        <is>
          <t>Structure Weight</t>
        </is>
      </c>
      <c r="D1" s="1" t="inlineStr">
        <is>
          <t>Volatility Weight</t>
        </is>
      </c>
    </row>
    <row r="2">
      <c r="A2" t="inlineStr">
        <is>
          <t>HIGH</t>
        </is>
      </c>
      <c r="B2" t="n">
        <v>0.2</v>
      </c>
      <c r="C2" t="n">
        <v>0.25</v>
      </c>
      <c r="D2" t="n">
        <v>0.15</v>
      </c>
    </row>
    <row r="3">
      <c r="A3" t="inlineStr">
        <is>
          <t>NORMAL</t>
        </is>
      </c>
      <c r="B3" t="n">
        <v>0.25</v>
      </c>
      <c r="C3" t="n">
        <v>0.2</v>
      </c>
      <c r="D3" t="n">
        <v>0.1</v>
      </c>
    </row>
    <row r="4">
      <c r="A4" t="inlineStr">
        <is>
          <t>LOW</t>
        </is>
      </c>
      <c r="B4" t="n">
        <v>0.3</v>
      </c>
      <c r="C4" t="n">
        <v>0.15</v>
      </c>
      <c r="D4" t="n">
        <v>0.05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Recent Equity</t>
        </is>
      </c>
      <c r="B1" s="1" t="inlineStr">
        <is>
          <t>Previous Equity</t>
        </is>
      </c>
      <c r="C1" s="1" t="inlineStr">
        <is>
          <t>Slope</t>
        </is>
      </c>
      <c r="D1" s="1" t="inlineStr">
        <is>
          <t>Trend Status</t>
        </is>
      </c>
    </row>
    <row r="2">
      <c r="C2">
        <f>A2-B2</f>
        <v/>
      </c>
      <c r="D2">
        <f>IF(C2&gt;0,"UPTREND",IF(C2&lt;0,"DOWNTREND","FLAT"))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1 Return</t>
        </is>
      </c>
      <c r="B1" s="1" t="inlineStr">
        <is>
          <t>Asset 2 Return</t>
        </is>
      </c>
      <c r="C1" s="1" t="inlineStr">
        <is>
          <t>Correlation</t>
        </is>
      </c>
      <c r="D1" s="1" t="inlineStr">
        <is>
          <t>Trade Allowed</t>
        </is>
      </c>
    </row>
    <row r="2">
      <c r="C2">
        <f>CORREL(A2:A21,B2:B21)</f>
        <v/>
      </c>
      <c r="D2">
        <f>IF(C2&gt;0.8,"BLOCK","ALLOW")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Signal Score</t>
        </is>
      </c>
      <c r="C1" s="1" t="inlineStr">
        <is>
          <t>Allocated %</t>
        </is>
      </c>
      <c r="D1" s="1" t="inlineStr">
        <is>
          <t>Capital Allocation</t>
        </is>
      </c>
    </row>
    <row r="2">
      <c r="A2" t="inlineStr">
        <is>
          <t>BTC</t>
        </is>
      </c>
      <c r="C2">
        <f>B2/SUM(B2:B6)</f>
        <v/>
      </c>
      <c r="D2">
        <f>C2*100000</f>
        <v/>
      </c>
    </row>
    <row r="3">
      <c r="A3" t="inlineStr">
        <is>
          <t>ETH</t>
        </is>
      </c>
      <c r="C3">
        <f>B3/SUM(B2:B6)</f>
        <v/>
      </c>
      <c r="D3">
        <f>C3*100000</f>
        <v/>
      </c>
    </row>
    <row r="4">
      <c r="A4" t="inlineStr">
        <is>
          <t>SOL</t>
        </is>
      </c>
      <c r="C4">
        <f>B4/SUM(B2:B6)</f>
        <v/>
      </c>
      <c r="D4">
        <f>C4*100000</f>
        <v/>
      </c>
    </row>
    <row r="5">
      <c r="A5" t="inlineStr">
        <is>
          <t>BNB</t>
        </is>
      </c>
      <c r="C5">
        <f>B5/SUM(B2:B6)</f>
        <v/>
      </c>
      <c r="D5">
        <f>C5*100000</f>
        <v/>
      </c>
    </row>
    <row r="6">
      <c r="A6" t="inlineStr">
        <is>
          <t>XRP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Random Outcome</t>
        </is>
      </c>
      <c r="C1" s="1" t="inlineStr">
        <is>
          <t>Return %</t>
        </is>
      </c>
      <c r="D1" s="1" t="inlineStr">
        <is>
          <t>Cumulative Equity</t>
        </is>
      </c>
    </row>
    <row r="2">
      <c r="A2" t="n">
        <v>1</v>
      </c>
      <c r="B2">
        <f>IF(RAND()&lt;0.55,1,-1)</f>
        <v/>
      </c>
      <c r="C2">
        <f>B2*0.02</f>
        <v/>
      </c>
      <c r="D2">
        <f>100000*(1+C2)</f>
        <v/>
      </c>
    </row>
    <row r="3">
      <c r="A3" t="n">
        <v>2</v>
      </c>
      <c r="B3">
        <f>IF(RAND()&lt;0.55,1,-1)</f>
        <v/>
      </c>
      <c r="C3">
        <f>B3*0.02</f>
        <v/>
      </c>
      <c r="D3">
        <f>D2*(1+C3)</f>
        <v/>
      </c>
    </row>
    <row r="4">
      <c r="A4" t="n">
        <v>3</v>
      </c>
      <c r="B4">
        <f>IF(RAND()&lt;0.55,1,-1)</f>
        <v/>
      </c>
      <c r="C4">
        <f>B4*0.02</f>
        <v/>
      </c>
      <c r="D4">
        <f>D3*(1+C4)</f>
        <v/>
      </c>
    </row>
    <row r="5">
      <c r="A5" t="n">
        <v>4</v>
      </c>
      <c r="B5">
        <f>IF(RAND()&lt;0.55,1,-1)</f>
        <v/>
      </c>
      <c r="C5">
        <f>B5*0.02</f>
        <v/>
      </c>
      <c r="D5">
        <f>D4*(1+C5)</f>
        <v/>
      </c>
    </row>
    <row r="6">
      <c r="A6" t="n">
        <v>5</v>
      </c>
      <c r="B6">
        <f>IF(RAND()&lt;0.55,1,-1)</f>
        <v/>
      </c>
      <c r="C6">
        <f>B6*0.02</f>
        <v/>
      </c>
      <c r="D6">
        <f>D5*(1+C6)</f>
        <v/>
      </c>
    </row>
    <row r="7">
      <c r="A7" t="n">
        <v>6</v>
      </c>
      <c r="B7">
        <f>IF(RAND()&lt;0.55,1,-1)</f>
        <v/>
      </c>
      <c r="C7">
        <f>B7*0.02</f>
        <v/>
      </c>
      <c r="D7">
        <f>D6*(1+C7)</f>
        <v/>
      </c>
    </row>
    <row r="8">
      <c r="A8" t="n">
        <v>7</v>
      </c>
      <c r="B8">
        <f>IF(RAND()&lt;0.55,1,-1)</f>
        <v/>
      </c>
      <c r="C8">
        <f>B8*0.02</f>
        <v/>
      </c>
      <c r="D8">
        <f>D7*(1+C8)</f>
        <v/>
      </c>
    </row>
    <row r="9">
      <c r="A9" t="n">
        <v>8</v>
      </c>
      <c r="B9">
        <f>IF(RAND()&lt;0.55,1,-1)</f>
        <v/>
      </c>
      <c r="C9">
        <f>B9*0.02</f>
        <v/>
      </c>
      <c r="D9">
        <f>D8*(1+C9)</f>
        <v/>
      </c>
    </row>
    <row r="10">
      <c r="A10" t="n">
        <v>9</v>
      </c>
      <c r="B10">
        <f>IF(RAND()&lt;0.55,1,-1)</f>
        <v/>
      </c>
      <c r="C10">
        <f>B10*0.02</f>
        <v/>
      </c>
      <c r="D10">
        <f>D9*(1+C10)</f>
        <v/>
      </c>
    </row>
    <row r="11">
      <c r="A11" t="n">
        <v>10</v>
      </c>
      <c r="B11">
        <f>IF(RAND()&lt;0.55,1,-1)</f>
        <v/>
      </c>
      <c r="C11">
        <f>B11*0.02</f>
        <v/>
      </c>
      <c r="D11">
        <f>D10*(1+C11)</f>
        <v/>
      </c>
    </row>
    <row r="12">
      <c r="A12" t="n">
        <v>11</v>
      </c>
      <c r="B12">
        <f>IF(RAND()&lt;0.55,1,-1)</f>
        <v/>
      </c>
      <c r="C12">
        <f>B12*0.02</f>
        <v/>
      </c>
      <c r="D12">
        <f>D11*(1+C12)</f>
        <v/>
      </c>
    </row>
    <row r="13">
      <c r="A13" t="n">
        <v>12</v>
      </c>
      <c r="B13">
        <f>IF(RAND()&lt;0.55,1,-1)</f>
        <v/>
      </c>
      <c r="C13">
        <f>B13*0.02</f>
        <v/>
      </c>
      <c r="D13">
        <f>D12*(1+C13)</f>
        <v/>
      </c>
    </row>
    <row r="14">
      <c r="A14" t="n">
        <v>13</v>
      </c>
      <c r="B14">
        <f>IF(RAND()&lt;0.55,1,-1)</f>
        <v/>
      </c>
      <c r="C14">
        <f>B14*0.02</f>
        <v/>
      </c>
      <c r="D14">
        <f>D13*(1+C14)</f>
        <v/>
      </c>
    </row>
    <row r="15">
      <c r="A15" t="n">
        <v>14</v>
      </c>
      <c r="B15">
        <f>IF(RAND()&lt;0.55,1,-1)</f>
        <v/>
      </c>
      <c r="C15">
        <f>B15*0.02</f>
        <v/>
      </c>
      <c r="D15">
        <f>D14*(1+C15)</f>
        <v/>
      </c>
    </row>
    <row r="16">
      <c r="A16" t="n">
        <v>15</v>
      </c>
      <c r="B16">
        <f>IF(RAND()&lt;0.55,1,-1)</f>
        <v/>
      </c>
      <c r="C16">
        <f>B16*0.02</f>
        <v/>
      </c>
      <c r="D16">
        <f>D15*(1+C16)</f>
        <v/>
      </c>
    </row>
    <row r="17">
      <c r="A17" t="n">
        <v>16</v>
      </c>
      <c r="B17">
        <f>IF(RAND()&lt;0.55,1,-1)</f>
        <v/>
      </c>
      <c r="C17">
        <f>B17*0.02</f>
        <v/>
      </c>
      <c r="D17">
        <f>D16*(1+C17)</f>
        <v/>
      </c>
    </row>
    <row r="18">
      <c r="A18" t="n">
        <v>17</v>
      </c>
      <c r="B18">
        <f>IF(RAND()&lt;0.55,1,-1)</f>
        <v/>
      </c>
      <c r="C18">
        <f>B18*0.02</f>
        <v/>
      </c>
      <c r="D18">
        <f>D17*(1+C18)</f>
        <v/>
      </c>
    </row>
    <row r="19">
      <c r="A19" t="n">
        <v>18</v>
      </c>
      <c r="B19">
        <f>IF(RAND()&lt;0.55,1,-1)</f>
        <v/>
      </c>
      <c r="C19">
        <f>B19*0.02</f>
        <v/>
      </c>
      <c r="D19">
        <f>D18*(1+C19)</f>
        <v/>
      </c>
    </row>
    <row r="20">
      <c r="A20" t="n">
        <v>19</v>
      </c>
      <c r="B20">
        <f>IF(RAND()&lt;0.55,1,-1)</f>
        <v/>
      </c>
      <c r="C20">
        <f>B20*0.02</f>
        <v/>
      </c>
      <c r="D20">
        <f>D19*(1+C20)</f>
        <v/>
      </c>
    </row>
    <row r="21">
      <c r="A21" t="n">
        <v>20</v>
      </c>
      <c r="B21">
        <f>IF(RAND()&lt;0.55,1,-1)</f>
        <v/>
      </c>
      <c r="C21">
        <f>B21*0.02</f>
        <v/>
      </c>
      <c r="D21">
        <f>D20*(1+C21)</f>
        <v/>
      </c>
    </row>
    <row r="22">
      <c r="A22" t="n">
        <v>21</v>
      </c>
      <c r="B22">
        <f>IF(RAND()&lt;0.55,1,-1)</f>
        <v/>
      </c>
      <c r="C22">
        <f>B22*0.02</f>
        <v/>
      </c>
      <c r="D22">
        <f>D21*(1+C22)</f>
        <v/>
      </c>
    </row>
    <row r="23">
      <c r="A23" t="n">
        <v>22</v>
      </c>
      <c r="B23">
        <f>IF(RAND()&lt;0.55,1,-1)</f>
        <v/>
      </c>
      <c r="C23">
        <f>B23*0.02</f>
        <v/>
      </c>
      <c r="D23">
        <f>D22*(1+C23)</f>
        <v/>
      </c>
    </row>
    <row r="24">
      <c r="A24" t="n">
        <v>23</v>
      </c>
      <c r="B24">
        <f>IF(RAND()&lt;0.55,1,-1)</f>
        <v/>
      </c>
      <c r="C24">
        <f>B24*0.02</f>
        <v/>
      </c>
      <c r="D24">
        <f>D23*(1+C24)</f>
        <v/>
      </c>
    </row>
    <row r="25">
      <c r="A25" t="n">
        <v>24</v>
      </c>
      <c r="B25">
        <f>IF(RAND()&lt;0.55,1,-1)</f>
        <v/>
      </c>
      <c r="C25">
        <f>B25*0.02</f>
        <v/>
      </c>
      <c r="D25">
        <f>D24*(1+C25)</f>
        <v/>
      </c>
    </row>
    <row r="26">
      <c r="A26" t="n">
        <v>25</v>
      </c>
      <c r="B26">
        <f>IF(RAND()&lt;0.55,1,-1)</f>
        <v/>
      </c>
      <c r="C26">
        <f>B26*0.02</f>
        <v/>
      </c>
      <c r="D26">
        <f>D25*(1+C26)</f>
        <v/>
      </c>
    </row>
    <row r="27">
      <c r="A27" t="n">
        <v>26</v>
      </c>
      <c r="B27">
        <f>IF(RAND()&lt;0.55,1,-1)</f>
        <v/>
      </c>
      <c r="C27">
        <f>B27*0.02</f>
        <v/>
      </c>
      <c r="D27">
        <f>D26*(1+C27)</f>
        <v/>
      </c>
    </row>
    <row r="28">
      <c r="A28" t="n">
        <v>27</v>
      </c>
      <c r="B28">
        <f>IF(RAND()&lt;0.55,1,-1)</f>
        <v/>
      </c>
      <c r="C28">
        <f>B28*0.02</f>
        <v/>
      </c>
      <c r="D28">
        <f>D27*(1+C28)</f>
        <v/>
      </c>
    </row>
    <row r="29">
      <c r="A29" t="n">
        <v>28</v>
      </c>
      <c r="B29">
        <f>IF(RAND()&lt;0.55,1,-1)</f>
        <v/>
      </c>
      <c r="C29">
        <f>B29*0.02</f>
        <v/>
      </c>
      <c r="D29">
        <f>D28*(1+C29)</f>
        <v/>
      </c>
    </row>
    <row r="30">
      <c r="A30" t="n">
        <v>29</v>
      </c>
      <c r="B30">
        <f>IF(RAND()&lt;0.55,1,-1)</f>
        <v/>
      </c>
      <c r="C30">
        <f>B30*0.02</f>
        <v/>
      </c>
      <c r="D30">
        <f>D29*(1+C30)</f>
        <v/>
      </c>
    </row>
    <row r="31">
      <c r="A31" t="n">
        <v>30</v>
      </c>
      <c r="B31">
        <f>IF(RAND()&lt;0.55,1,-1)</f>
        <v/>
      </c>
      <c r="C31">
        <f>B31*0.02</f>
        <v/>
      </c>
      <c r="D31">
        <f>D30*(1+C31)</f>
        <v/>
      </c>
    </row>
    <row r="32">
      <c r="A32" t="n">
        <v>31</v>
      </c>
      <c r="B32">
        <f>IF(RAND()&lt;0.55,1,-1)</f>
        <v/>
      </c>
      <c r="C32">
        <f>B32*0.02</f>
        <v/>
      </c>
      <c r="D32">
        <f>D31*(1+C32)</f>
        <v/>
      </c>
    </row>
    <row r="33">
      <c r="A33" t="n">
        <v>32</v>
      </c>
      <c r="B33">
        <f>IF(RAND()&lt;0.55,1,-1)</f>
        <v/>
      </c>
      <c r="C33">
        <f>B33*0.02</f>
        <v/>
      </c>
      <c r="D33">
        <f>D32*(1+C33)</f>
        <v/>
      </c>
    </row>
    <row r="34">
      <c r="A34" t="n">
        <v>33</v>
      </c>
      <c r="B34">
        <f>IF(RAND()&lt;0.55,1,-1)</f>
        <v/>
      </c>
      <c r="C34">
        <f>B34*0.02</f>
        <v/>
      </c>
      <c r="D34">
        <f>D33*(1+C34)</f>
        <v/>
      </c>
    </row>
    <row r="35">
      <c r="A35" t="n">
        <v>34</v>
      </c>
      <c r="B35">
        <f>IF(RAND()&lt;0.55,1,-1)</f>
        <v/>
      </c>
      <c r="C35">
        <f>B35*0.02</f>
        <v/>
      </c>
      <c r="D35">
        <f>D34*(1+C35)</f>
        <v/>
      </c>
    </row>
    <row r="36">
      <c r="A36" t="n">
        <v>35</v>
      </c>
      <c r="B36">
        <f>IF(RAND()&lt;0.55,1,-1)</f>
        <v/>
      </c>
      <c r="C36">
        <f>B36*0.02</f>
        <v/>
      </c>
      <c r="D36">
        <f>D35*(1+C36)</f>
        <v/>
      </c>
    </row>
    <row r="37">
      <c r="A37" t="n">
        <v>36</v>
      </c>
      <c r="B37">
        <f>IF(RAND()&lt;0.55,1,-1)</f>
        <v/>
      </c>
      <c r="C37">
        <f>B37*0.02</f>
        <v/>
      </c>
      <c r="D37">
        <f>D36*(1+C37)</f>
        <v/>
      </c>
    </row>
    <row r="38">
      <c r="A38" t="n">
        <v>37</v>
      </c>
      <c r="B38">
        <f>IF(RAND()&lt;0.55,1,-1)</f>
        <v/>
      </c>
      <c r="C38">
        <f>B38*0.02</f>
        <v/>
      </c>
      <c r="D38">
        <f>D37*(1+C38)</f>
        <v/>
      </c>
    </row>
    <row r="39">
      <c r="A39" t="n">
        <v>38</v>
      </c>
      <c r="B39">
        <f>IF(RAND()&lt;0.55,1,-1)</f>
        <v/>
      </c>
      <c r="C39">
        <f>B39*0.02</f>
        <v/>
      </c>
      <c r="D39">
        <f>D38*(1+C39)</f>
        <v/>
      </c>
    </row>
    <row r="40">
      <c r="A40" t="n">
        <v>39</v>
      </c>
      <c r="B40">
        <f>IF(RAND()&lt;0.55,1,-1)</f>
        <v/>
      </c>
      <c r="C40">
        <f>B40*0.02</f>
        <v/>
      </c>
      <c r="D40">
        <f>D39*(1+C40)</f>
        <v/>
      </c>
    </row>
    <row r="41">
      <c r="A41" t="n">
        <v>40</v>
      </c>
      <c r="B41">
        <f>IF(RAND()&lt;0.55,1,-1)</f>
        <v/>
      </c>
      <c r="C41">
        <f>B41*0.02</f>
        <v/>
      </c>
      <c r="D41">
        <f>D40*(1+C41)</f>
        <v/>
      </c>
    </row>
    <row r="42">
      <c r="A42" t="n">
        <v>41</v>
      </c>
      <c r="B42">
        <f>IF(RAND()&lt;0.55,1,-1)</f>
        <v/>
      </c>
      <c r="C42">
        <f>B42*0.02</f>
        <v/>
      </c>
      <c r="D42">
        <f>D41*(1+C42)</f>
        <v/>
      </c>
    </row>
    <row r="43">
      <c r="A43" t="n">
        <v>42</v>
      </c>
      <c r="B43">
        <f>IF(RAND()&lt;0.55,1,-1)</f>
        <v/>
      </c>
      <c r="C43">
        <f>B43*0.02</f>
        <v/>
      </c>
      <c r="D43">
        <f>D42*(1+C43)</f>
        <v/>
      </c>
    </row>
    <row r="44">
      <c r="A44" t="n">
        <v>43</v>
      </c>
      <c r="B44">
        <f>IF(RAND()&lt;0.55,1,-1)</f>
        <v/>
      </c>
      <c r="C44">
        <f>B44*0.02</f>
        <v/>
      </c>
      <c r="D44">
        <f>D43*(1+C44)</f>
        <v/>
      </c>
    </row>
    <row r="45">
      <c r="A45" t="n">
        <v>44</v>
      </c>
      <c r="B45">
        <f>IF(RAND()&lt;0.55,1,-1)</f>
        <v/>
      </c>
      <c r="C45">
        <f>B45*0.02</f>
        <v/>
      </c>
      <c r="D45">
        <f>D44*(1+C45)</f>
        <v/>
      </c>
    </row>
    <row r="46">
      <c r="A46" t="n">
        <v>45</v>
      </c>
      <c r="B46">
        <f>IF(RAND()&lt;0.55,1,-1)</f>
        <v/>
      </c>
      <c r="C46">
        <f>B46*0.02</f>
        <v/>
      </c>
      <c r="D46">
        <f>D45*(1+C46)</f>
        <v/>
      </c>
    </row>
    <row r="47">
      <c r="A47" t="n">
        <v>46</v>
      </c>
      <c r="B47">
        <f>IF(RAND()&lt;0.55,1,-1)</f>
        <v/>
      </c>
      <c r="C47">
        <f>B47*0.02</f>
        <v/>
      </c>
      <c r="D47">
        <f>D46*(1+C47)</f>
        <v/>
      </c>
    </row>
    <row r="48">
      <c r="A48" t="n">
        <v>47</v>
      </c>
      <c r="B48">
        <f>IF(RAND()&lt;0.55,1,-1)</f>
        <v/>
      </c>
      <c r="C48">
        <f>B48*0.02</f>
        <v/>
      </c>
      <c r="D48">
        <f>D47*(1+C48)</f>
        <v/>
      </c>
    </row>
    <row r="49">
      <c r="A49" t="n">
        <v>48</v>
      </c>
      <c r="B49">
        <f>IF(RAND()&lt;0.55,1,-1)</f>
        <v/>
      </c>
      <c r="C49">
        <f>B49*0.02</f>
        <v/>
      </c>
      <c r="D49">
        <f>D48*(1+C49)</f>
        <v/>
      </c>
    </row>
    <row r="50">
      <c r="A50" t="n">
        <v>49</v>
      </c>
      <c r="B50">
        <f>IF(RAND()&lt;0.55,1,-1)</f>
        <v/>
      </c>
      <c r="C50">
        <f>B50*0.02</f>
        <v/>
      </c>
      <c r="D50">
        <f>D49*(1+C50)</f>
        <v/>
      </c>
    </row>
    <row r="51">
      <c r="A51" t="n">
        <v>50</v>
      </c>
      <c r="B51">
        <f>IF(RAND()&lt;0.55,1,-1)</f>
        <v/>
      </c>
      <c r="C51">
        <f>B51*0.02</f>
        <v/>
      </c>
      <c r="D51">
        <f>D50*(1+C51)</f>
        <v/>
      </c>
    </row>
    <row r="52">
      <c r="A52" t="n">
        <v>51</v>
      </c>
      <c r="B52">
        <f>IF(RAND()&lt;0.55,1,-1)</f>
        <v/>
      </c>
      <c r="C52">
        <f>B52*0.02</f>
        <v/>
      </c>
      <c r="D52">
        <f>D51*(1+C52)</f>
        <v/>
      </c>
    </row>
    <row r="53">
      <c r="A53" t="n">
        <v>52</v>
      </c>
      <c r="B53">
        <f>IF(RAND()&lt;0.55,1,-1)</f>
        <v/>
      </c>
      <c r="C53">
        <f>B53*0.02</f>
        <v/>
      </c>
      <c r="D53">
        <f>D52*(1+C53)</f>
        <v/>
      </c>
    </row>
    <row r="54">
      <c r="A54" t="n">
        <v>53</v>
      </c>
      <c r="B54">
        <f>IF(RAND()&lt;0.55,1,-1)</f>
        <v/>
      </c>
      <c r="C54">
        <f>B54*0.02</f>
        <v/>
      </c>
      <c r="D54">
        <f>D53*(1+C54)</f>
        <v/>
      </c>
    </row>
    <row r="55">
      <c r="A55" t="n">
        <v>54</v>
      </c>
      <c r="B55">
        <f>IF(RAND()&lt;0.55,1,-1)</f>
        <v/>
      </c>
      <c r="C55">
        <f>B55*0.02</f>
        <v/>
      </c>
      <c r="D55">
        <f>D54*(1+C55)</f>
        <v/>
      </c>
    </row>
    <row r="56">
      <c r="A56" t="n">
        <v>55</v>
      </c>
      <c r="B56">
        <f>IF(RAND()&lt;0.55,1,-1)</f>
        <v/>
      </c>
      <c r="C56">
        <f>B56*0.02</f>
        <v/>
      </c>
      <c r="D56">
        <f>D55*(1+C56)</f>
        <v/>
      </c>
    </row>
    <row r="57">
      <c r="A57" t="n">
        <v>56</v>
      </c>
      <c r="B57">
        <f>IF(RAND()&lt;0.55,1,-1)</f>
        <v/>
      </c>
      <c r="C57">
        <f>B57*0.02</f>
        <v/>
      </c>
      <c r="D57">
        <f>D56*(1+C57)</f>
        <v/>
      </c>
    </row>
    <row r="58">
      <c r="A58" t="n">
        <v>57</v>
      </c>
      <c r="B58">
        <f>IF(RAND()&lt;0.55,1,-1)</f>
        <v/>
      </c>
      <c r="C58">
        <f>B58*0.02</f>
        <v/>
      </c>
      <c r="D58">
        <f>D57*(1+C58)</f>
        <v/>
      </c>
    </row>
    <row r="59">
      <c r="A59" t="n">
        <v>58</v>
      </c>
      <c r="B59">
        <f>IF(RAND()&lt;0.55,1,-1)</f>
        <v/>
      </c>
      <c r="C59">
        <f>B59*0.02</f>
        <v/>
      </c>
      <c r="D59">
        <f>D58*(1+C59)</f>
        <v/>
      </c>
    </row>
    <row r="60">
      <c r="A60" t="n">
        <v>59</v>
      </c>
      <c r="B60">
        <f>IF(RAND()&lt;0.55,1,-1)</f>
        <v/>
      </c>
      <c r="C60">
        <f>B60*0.02</f>
        <v/>
      </c>
      <c r="D60">
        <f>D59*(1+C60)</f>
        <v/>
      </c>
    </row>
    <row r="61">
      <c r="A61" t="n">
        <v>60</v>
      </c>
      <c r="B61">
        <f>IF(RAND()&lt;0.55,1,-1)</f>
        <v/>
      </c>
      <c r="C61">
        <f>B61*0.02</f>
        <v/>
      </c>
      <c r="D61">
        <f>D60*(1+C61)</f>
        <v/>
      </c>
    </row>
    <row r="62">
      <c r="A62" t="n">
        <v>61</v>
      </c>
      <c r="B62">
        <f>IF(RAND()&lt;0.55,1,-1)</f>
        <v/>
      </c>
      <c r="C62">
        <f>B62*0.02</f>
        <v/>
      </c>
      <c r="D62">
        <f>D61*(1+C62)</f>
        <v/>
      </c>
    </row>
    <row r="63">
      <c r="A63" t="n">
        <v>62</v>
      </c>
      <c r="B63">
        <f>IF(RAND()&lt;0.55,1,-1)</f>
        <v/>
      </c>
      <c r="C63">
        <f>B63*0.02</f>
        <v/>
      </c>
      <c r="D63">
        <f>D62*(1+C63)</f>
        <v/>
      </c>
    </row>
    <row r="64">
      <c r="A64" t="n">
        <v>63</v>
      </c>
      <c r="B64">
        <f>IF(RAND()&lt;0.55,1,-1)</f>
        <v/>
      </c>
      <c r="C64">
        <f>B64*0.02</f>
        <v/>
      </c>
      <c r="D64">
        <f>D63*(1+C64)</f>
        <v/>
      </c>
    </row>
    <row r="65">
      <c r="A65" t="n">
        <v>64</v>
      </c>
      <c r="B65">
        <f>IF(RAND()&lt;0.55,1,-1)</f>
        <v/>
      </c>
      <c r="C65">
        <f>B65*0.02</f>
        <v/>
      </c>
      <c r="D65">
        <f>D64*(1+C65)</f>
        <v/>
      </c>
    </row>
    <row r="66">
      <c r="A66" t="n">
        <v>65</v>
      </c>
      <c r="B66">
        <f>IF(RAND()&lt;0.55,1,-1)</f>
        <v/>
      </c>
      <c r="C66">
        <f>B66*0.02</f>
        <v/>
      </c>
      <c r="D66">
        <f>D65*(1+C66)</f>
        <v/>
      </c>
    </row>
    <row r="67">
      <c r="A67" t="n">
        <v>66</v>
      </c>
      <c r="B67">
        <f>IF(RAND()&lt;0.55,1,-1)</f>
        <v/>
      </c>
      <c r="C67">
        <f>B67*0.02</f>
        <v/>
      </c>
      <c r="D67">
        <f>D66*(1+C67)</f>
        <v/>
      </c>
    </row>
    <row r="68">
      <c r="A68" t="n">
        <v>67</v>
      </c>
      <c r="B68">
        <f>IF(RAND()&lt;0.55,1,-1)</f>
        <v/>
      </c>
      <c r="C68">
        <f>B68*0.02</f>
        <v/>
      </c>
      <c r="D68">
        <f>D67*(1+C68)</f>
        <v/>
      </c>
    </row>
    <row r="69">
      <c r="A69" t="n">
        <v>68</v>
      </c>
      <c r="B69">
        <f>IF(RAND()&lt;0.55,1,-1)</f>
        <v/>
      </c>
      <c r="C69">
        <f>B69*0.02</f>
        <v/>
      </c>
      <c r="D69">
        <f>D68*(1+C69)</f>
        <v/>
      </c>
    </row>
    <row r="70">
      <c r="A70" t="n">
        <v>69</v>
      </c>
      <c r="B70">
        <f>IF(RAND()&lt;0.55,1,-1)</f>
        <v/>
      </c>
      <c r="C70">
        <f>B70*0.02</f>
        <v/>
      </c>
      <c r="D70">
        <f>D69*(1+C70)</f>
        <v/>
      </c>
    </row>
    <row r="71">
      <c r="A71" t="n">
        <v>70</v>
      </c>
      <c r="B71">
        <f>IF(RAND()&lt;0.55,1,-1)</f>
        <v/>
      </c>
      <c r="C71">
        <f>B71*0.02</f>
        <v/>
      </c>
      <c r="D71">
        <f>D70*(1+C71)</f>
        <v/>
      </c>
    </row>
    <row r="72">
      <c r="A72" t="n">
        <v>71</v>
      </c>
      <c r="B72">
        <f>IF(RAND()&lt;0.55,1,-1)</f>
        <v/>
      </c>
      <c r="C72">
        <f>B72*0.02</f>
        <v/>
      </c>
      <c r="D72">
        <f>D71*(1+C72)</f>
        <v/>
      </c>
    </row>
    <row r="73">
      <c r="A73" t="n">
        <v>72</v>
      </c>
      <c r="B73">
        <f>IF(RAND()&lt;0.55,1,-1)</f>
        <v/>
      </c>
      <c r="C73">
        <f>B73*0.02</f>
        <v/>
      </c>
      <c r="D73">
        <f>D72*(1+C73)</f>
        <v/>
      </c>
    </row>
    <row r="74">
      <c r="A74" t="n">
        <v>73</v>
      </c>
      <c r="B74">
        <f>IF(RAND()&lt;0.55,1,-1)</f>
        <v/>
      </c>
      <c r="C74">
        <f>B74*0.02</f>
        <v/>
      </c>
      <c r="D74">
        <f>D73*(1+C74)</f>
        <v/>
      </c>
    </row>
    <row r="75">
      <c r="A75" t="n">
        <v>74</v>
      </c>
      <c r="B75">
        <f>IF(RAND()&lt;0.55,1,-1)</f>
        <v/>
      </c>
      <c r="C75">
        <f>B75*0.02</f>
        <v/>
      </c>
      <c r="D75">
        <f>D74*(1+C75)</f>
        <v/>
      </c>
    </row>
    <row r="76">
      <c r="A76" t="n">
        <v>75</v>
      </c>
      <c r="B76">
        <f>IF(RAND()&lt;0.55,1,-1)</f>
        <v/>
      </c>
      <c r="C76">
        <f>B76*0.02</f>
        <v/>
      </c>
      <c r="D76">
        <f>D75*(1+C76)</f>
        <v/>
      </c>
    </row>
    <row r="77">
      <c r="A77" t="n">
        <v>76</v>
      </c>
      <c r="B77">
        <f>IF(RAND()&lt;0.55,1,-1)</f>
        <v/>
      </c>
      <c r="C77">
        <f>B77*0.02</f>
        <v/>
      </c>
      <c r="D77">
        <f>D76*(1+C77)</f>
        <v/>
      </c>
    </row>
    <row r="78">
      <c r="A78" t="n">
        <v>77</v>
      </c>
      <c r="B78">
        <f>IF(RAND()&lt;0.55,1,-1)</f>
        <v/>
      </c>
      <c r="C78">
        <f>B78*0.02</f>
        <v/>
      </c>
      <c r="D78">
        <f>D77*(1+C78)</f>
        <v/>
      </c>
    </row>
    <row r="79">
      <c r="A79" t="n">
        <v>78</v>
      </c>
      <c r="B79">
        <f>IF(RAND()&lt;0.55,1,-1)</f>
        <v/>
      </c>
      <c r="C79">
        <f>B79*0.02</f>
        <v/>
      </c>
      <c r="D79">
        <f>D78*(1+C79)</f>
        <v/>
      </c>
    </row>
    <row r="80">
      <c r="A80" t="n">
        <v>79</v>
      </c>
      <c r="B80">
        <f>IF(RAND()&lt;0.55,1,-1)</f>
        <v/>
      </c>
      <c r="C80">
        <f>B80*0.02</f>
        <v/>
      </c>
      <c r="D80">
        <f>D79*(1+C80)</f>
        <v/>
      </c>
    </row>
    <row r="81">
      <c r="A81" t="n">
        <v>80</v>
      </c>
      <c r="B81">
        <f>IF(RAND()&lt;0.55,1,-1)</f>
        <v/>
      </c>
      <c r="C81">
        <f>B81*0.02</f>
        <v/>
      </c>
      <c r="D81">
        <f>D80*(1+C81)</f>
        <v/>
      </c>
    </row>
    <row r="82">
      <c r="A82" t="n">
        <v>81</v>
      </c>
      <c r="B82">
        <f>IF(RAND()&lt;0.55,1,-1)</f>
        <v/>
      </c>
      <c r="C82">
        <f>B82*0.02</f>
        <v/>
      </c>
      <c r="D82">
        <f>D81*(1+C82)</f>
        <v/>
      </c>
    </row>
    <row r="83">
      <c r="A83" t="n">
        <v>82</v>
      </c>
      <c r="B83">
        <f>IF(RAND()&lt;0.55,1,-1)</f>
        <v/>
      </c>
      <c r="C83">
        <f>B83*0.02</f>
        <v/>
      </c>
      <c r="D83">
        <f>D82*(1+C83)</f>
        <v/>
      </c>
    </row>
    <row r="84">
      <c r="A84" t="n">
        <v>83</v>
      </c>
      <c r="B84">
        <f>IF(RAND()&lt;0.55,1,-1)</f>
        <v/>
      </c>
      <c r="C84">
        <f>B84*0.02</f>
        <v/>
      </c>
      <c r="D84">
        <f>D83*(1+C84)</f>
        <v/>
      </c>
    </row>
    <row r="85">
      <c r="A85" t="n">
        <v>84</v>
      </c>
      <c r="B85">
        <f>IF(RAND()&lt;0.55,1,-1)</f>
        <v/>
      </c>
      <c r="C85">
        <f>B85*0.02</f>
        <v/>
      </c>
      <c r="D85">
        <f>D84*(1+C85)</f>
        <v/>
      </c>
    </row>
    <row r="86">
      <c r="A86" t="n">
        <v>85</v>
      </c>
      <c r="B86">
        <f>IF(RAND()&lt;0.55,1,-1)</f>
        <v/>
      </c>
      <c r="C86">
        <f>B86*0.02</f>
        <v/>
      </c>
      <c r="D86">
        <f>D85*(1+C86)</f>
        <v/>
      </c>
    </row>
    <row r="87">
      <c r="A87" t="n">
        <v>86</v>
      </c>
      <c r="B87">
        <f>IF(RAND()&lt;0.55,1,-1)</f>
        <v/>
      </c>
      <c r="C87">
        <f>B87*0.02</f>
        <v/>
      </c>
      <c r="D87">
        <f>D86*(1+C87)</f>
        <v/>
      </c>
    </row>
    <row r="88">
      <c r="A88" t="n">
        <v>87</v>
      </c>
      <c r="B88">
        <f>IF(RAND()&lt;0.55,1,-1)</f>
        <v/>
      </c>
      <c r="C88">
        <f>B88*0.02</f>
        <v/>
      </c>
      <c r="D88">
        <f>D87*(1+C88)</f>
        <v/>
      </c>
    </row>
    <row r="89">
      <c r="A89" t="n">
        <v>88</v>
      </c>
      <c r="B89">
        <f>IF(RAND()&lt;0.55,1,-1)</f>
        <v/>
      </c>
      <c r="C89">
        <f>B89*0.02</f>
        <v/>
      </c>
      <c r="D89">
        <f>D88*(1+C89)</f>
        <v/>
      </c>
    </row>
    <row r="90">
      <c r="A90" t="n">
        <v>89</v>
      </c>
      <c r="B90">
        <f>IF(RAND()&lt;0.55,1,-1)</f>
        <v/>
      </c>
      <c r="C90">
        <f>B90*0.02</f>
        <v/>
      </c>
      <c r="D90">
        <f>D89*(1+C90)</f>
        <v/>
      </c>
    </row>
    <row r="91">
      <c r="A91" t="n">
        <v>90</v>
      </c>
      <c r="B91">
        <f>IF(RAND()&lt;0.55,1,-1)</f>
        <v/>
      </c>
      <c r="C91">
        <f>B91*0.02</f>
        <v/>
      </c>
      <c r="D91">
        <f>D90*(1+C91)</f>
        <v/>
      </c>
    </row>
    <row r="92">
      <c r="A92" t="n">
        <v>91</v>
      </c>
      <c r="B92">
        <f>IF(RAND()&lt;0.55,1,-1)</f>
        <v/>
      </c>
      <c r="C92">
        <f>B92*0.02</f>
        <v/>
      </c>
      <c r="D92">
        <f>D91*(1+C92)</f>
        <v/>
      </c>
    </row>
    <row r="93">
      <c r="A93" t="n">
        <v>92</v>
      </c>
      <c r="B93">
        <f>IF(RAND()&lt;0.55,1,-1)</f>
        <v/>
      </c>
      <c r="C93">
        <f>B93*0.02</f>
        <v/>
      </c>
      <c r="D93">
        <f>D92*(1+C93)</f>
        <v/>
      </c>
    </row>
    <row r="94">
      <c r="A94" t="n">
        <v>93</v>
      </c>
      <c r="B94">
        <f>IF(RAND()&lt;0.55,1,-1)</f>
        <v/>
      </c>
      <c r="C94">
        <f>B94*0.02</f>
        <v/>
      </c>
      <c r="D94">
        <f>D93*(1+C94)</f>
        <v/>
      </c>
    </row>
    <row r="95">
      <c r="A95" t="n">
        <v>94</v>
      </c>
      <c r="B95">
        <f>IF(RAND()&lt;0.55,1,-1)</f>
        <v/>
      </c>
      <c r="C95">
        <f>B95*0.02</f>
        <v/>
      </c>
      <c r="D95">
        <f>D94*(1+C95)</f>
        <v/>
      </c>
    </row>
    <row r="96">
      <c r="A96" t="n">
        <v>95</v>
      </c>
      <c r="B96">
        <f>IF(RAND()&lt;0.55,1,-1)</f>
        <v/>
      </c>
      <c r="C96">
        <f>B96*0.02</f>
        <v/>
      </c>
      <c r="D96">
        <f>D95*(1+C96)</f>
        <v/>
      </c>
    </row>
    <row r="97">
      <c r="A97" t="n">
        <v>96</v>
      </c>
      <c r="B97">
        <f>IF(RAND()&lt;0.55,1,-1)</f>
        <v/>
      </c>
      <c r="C97">
        <f>B97*0.02</f>
        <v/>
      </c>
      <c r="D97">
        <f>D96*(1+C97)</f>
        <v/>
      </c>
    </row>
    <row r="98">
      <c r="A98" t="n">
        <v>97</v>
      </c>
      <c r="B98">
        <f>IF(RAND()&lt;0.55,1,-1)</f>
        <v/>
      </c>
      <c r="C98">
        <f>B98*0.02</f>
        <v/>
      </c>
      <c r="D98">
        <f>D97*(1+C98)</f>
        <v/>
      </c>
    </row>
    <row r="99">
      <c r="A99" t="n">
        <v>98</v>
      </c>
      <c r="B99">
        <f>IF(RAND()&lt;0.55,1,-1)</f>
        <v/>
      </c>
      <c r="C99">
        <f>B99*0.02</f>
        <v/>
      </c>
      <c r="D99">
        <f>D98*(1+C99)</f>
        <v/>
      </c>
    </row>
    <row r="100">
      <c r="A100" t="n">
        <v>99</v>
      </c>
      <c r="B100">
        <f>IF(RAND()&lt;0.55,1,-1)</f>
        <v/>
      </c>
      <c r="C100">
        <f>B100*0.02</f>
        <v/>
      </c>
      <c r="D100">
        <f>D99*(1+C100)</f>
        <v/>
      </c>
    </row>
    <row r="101">
      <c r="A101" t="n">
        <v>100</v>
      </c>
      <c r="B101">
        <f>IF(RAND()&lt;0.55,1,-1)</f>
        <v/>
      </c>
      <c r="C101">
        <f>B101*0.02</f>
        <v/>
      </c>
      <c r="D101">
        <f>D100*(1+C101)</f>
        <v/>
      </c>
    </row>
    <row r="102">
      <c r="A102" t="n">
        <v>101</v>
      </c>
      <c r="B102">
        <f>IF(RAND()&lt;0.55,1,-1)</f>
        <v/>
      </c>
      <c r="C102">
        <f>B102*0.02</f>
        <v/>
      </c>
      <c r="D102">
        <f>D101*(1+C102)</f>
        <v/>
      </c>
    </row>
    <row r="103">
      <c r="A103" t="n">
        <v>102</v>
      </c>
      <c r="B103">
        <f>IF(RAND()&lt;0.55,1,-1)</f>
        <v/>
      </c>
      <c r="C103">
        <f>B103*0.02</f>
        <v/>
      </c>
      <c r="D103">
        <f>D102*(1+C103)</f>
        <v/>
      </c>
    </row>
    <row r="104">
      <c r="A104" t="n">
        <v>103</v>
      </c>
      <c r="B104">
        <f>IF(RAND()&lt;0.55,1,-1)</f>
        <v/>
      </c>
      <c r="C104">
        <f>B104*0.02</f>
        <v/>
      </c>
      <c r="D104">
        <f>D103*(1+C104)</f>
        <v/>
      </c>
    </row>
    <row r="105">
      <c r="A105" t="n">
        <v>104</v>
      </c>
      <c r="B105">
        <f>IF(RAND()&lt;0.55,1,-1)</f>
        <v/>
      </c>
      <c r="C105">
        <f>B105*0.02</f>
        <v/>
      </c>
      <c r="D105">
        <f>D104*(1+C105)</f>
        <v/>
      </c>
    </row>
    <row r="106">
      <c r="A106" t="n">
        <v>105</v>
      </c>
      <c r="B106">
        <f>IF(RAND()&lt;0.55,1,-1)</f>
        <v/>
      </c>
      <c r="C106">
        <f>B106*0.02</f>
        <v/>
      </c>
      <c r="D106">
        <f>D105*(1+C106)</f>
        <v/>
      </c>
    </row>
    <row r="107">
      <c r="A107" t="n">
        <v>106</v>
      </c>
      <c r="B107">
        <f>IF(RAND()&lt;0.55,1,-1)</f>
        <v/>
      </c>
      <c r="C107">
        <f>B107*0.02</f>
        <v/>
      </c>
      <c r="D107">
        <f>D106*(1+C107)</f>
        <v/>
      </c>
    </row>
    <row r="108">
      <c r="A108" t="n">
        <v>107</v>
      </c>
      <c r="B108">
        <f>IF(RAND()&lt;0.55,1,-1)</f>
        <v/>
      </c>
      <c r="C108">
        <f>B108*0.02</f>
        <v/>
      </c>
      <c r="D108">
        <f>D107*(1+C108)</f>
        <v/>
      </c>
    </row>
    <row r="109">
      <c r="A109" t="n">
        <v>108</v>
      </c>
      <c r="B109">
        <f>IF(RAND()&lt;0.55,1,-1)</f>
        <v/>
      </c>
      <c r="C109">
        <f>B109*0.02</f>
        <v/>
      </c>
      <c r="D109">
        <f>D108*(1+C109)</f>
        <v/>
      </c>
    </row>
    <row r="110">
      <c r="A110" t="n">
        <v>109</v>
      </c>
      <c r="B110">
        <f>IF(RAND()&lt;0.55,1,-1)</f>
        <v/>
      </c>
      <c r="C110">
        <f>B110*0.02</f>
        <v/>
      </c>
      <c r="D110">
        <f>D109*(1+C110)</f>
        <v/>
      </c>
    </row>
    <row r="111">
      <c r="A111" t="n">
        <v>110</v>
      </c>
      <c r="B111">
        <f>IF(RAND()&lt;0.55,1,-1)</f>
        <v/>
      </c>
      <c r="C111">
        <f>B111*0.02</f>
        <v/>
      </c>
      <c r="D111">
        <f>D110*(1+C111)</f>
        <v/>
      </c>
    </row>
    <row r="112">
      <c r="A112" t="n">
        <v>111</v>
      </c>
      <c r="B112">
        <f>IF(RAND()&lt;0.55,1,-1)</f>
        <v/>
      </c>
      <c r="C112">
        <f>B112*0.02</f>
        <v/>
      </c>
      <c r="D112">
        <f>D111*(1+C112)</f>
        <v/>
      </c>
    </row>
    <row r="113">
      <c r="A113" t="n">
        <v>112</v>
      </c>
      <c r="B113">
        <f>IF(RAND()&lt;0.55,1,-1)</f>
        <v/>
      </c>
      <c r="C113">
        <f>B113*0.02</f>
        <v/>
      </c>
      <c r="D113">
        <f>D112*(1+C113)</f>
        <v/>
      </c>
    </row>
    <row r="114">
      <c r="A114" t="n">
        <v>113</v>
      </c>
      <c r="B114">
        <f>IF(RAND()&lt;0.55,1,-1)</f>
        <v/>
      </c>
      <c r="C114">
        <f>B114*0.02</f>
        <v/>
      </c>
      <c r="D114">
        <f>D113*(1+C114)</f>
        <v/>
      </c>
    </row>
    <row r="115">
      <c r="A115" t="n">
        <v>114</v>
      </c>
      <c r="B115">
        <f>IF(RAND()&lt;0.55,1,-1)</f>
        <v/>
      </c>
      <c r="C115">
        <f>B115*0.02</f>
        <v/>
      </c>
      <c r="D115">
        <f>D114*(1+C115)</f>
        <v/>
      </c>
    </row>
    <row r="116">
      <c r="A116" t="n">
        <v>115</v>
      </c>
      <c r="B116">
        <f>IF(RAND()&lt;0.55,1,-1)</f>
        <v/>
      </c>
      <c r="C116">
        <f>B116*0.02</f>
        <v/>
      </c>
      <c r="D116">
        <f>D115*(1+C116)</f>
        <v/>
      </c>
    </row>
    <row r="117">
      <c r="A117" t="n">
        <v>116</v>
      </c>
      <c r="B117">
        <f>IF(RAND()&lt;0.55,1,-1)</f>
        <v/>
      </c>
      <c r="C117">
        <f>B117*0.02</f>
        <v/>
      </c>
      <c r="D117">
        <f>D116*(1+C117)</f>
        <v/>
      </c>
    </row>
    <row r="118">
      <c r="A118" t="n">
        <v>117</v>
      </c>
      <c r="B118">
        <f>IF(RAND()&lt;0.55,1,-1)</f>
        <v/>
      </c>
      <c r="C118">
        <f>B118*0.02</f>
        <v/>
      </c>
      <c r="D118">
        <f>D117*(1+C118)</f>
        <v/>
      </c>
    </row>
    <row r="119">
      <c r="A119" t="n">
        <v>118</v>
      </c>
      <c r="B119">
        <f>IF(RAND()&lt;0.55,1,-1)</f>
        <v/>
      </c>
      <c r="C119">
        <f>B119*0.02</f>
        <v/>
      </c>
      <c r="D119">
        <f>D118*(1+C119)</f>
        <v/>
      </c>
    </row>
    <row r="120">
      <c r="A120" t="n">
        <v>119</v>
      </c>
      <c r="B120">
        <f>IF(RAND()&lt;0.55,1,-1)</f>
        <v/>
      </c>
      <c r="C120">
        <f>B120*0.02</f>
        <v/>
      </c>
      <c r="D120">
        <f>D119*(1+C120)</f>
        <v/>
      </c>
    </row>
    <row r="121">
      <c r="A121" t="n">
        <v>120</v>
      </c>
      <c r="B121">
        <f>IF(RAND()&lt;0.55,1,-1)</f>
        <v/>
      </c>
      <c r="C121">
        <f>B121*0.02</f>
        <v/>
      </c>
      <c r="D121">
        <f>D120*(1+C121)</f>
        <v/>
      </c>
    </row>
    <row r="122">
      <c r="A122" t="n">
        <v>121</v>
      </c>
      <c r="B122">
        <f>IF(RAND()&lt;0.55,1,-1)</f>
        <v/>
      </c>
      <c r="C122">
        <f>B122*0.02</f>
        <v/>
      </c>
      <c r="D122">
        <f>D121*(1+C122)</f>
        <v/>
      </c>
    </row>
    <row r="123">
      <c r="A123" t="n">
        <v>122</v>
      </c>
      <c r="B123">
        <f>IF(RAND()&lt;0.55,1,-1)</f>
        <v/>
      </c>
      <c r="C123">
        <f>B123*0.02</f>
        <v/>
      </c>
      <c r="D123">
        <f>D122*(1+C123)</f>
        <v/>
      </c>
    </row>
    <row r="124">
      <c r="A124" t="n">
        <v>123</v>
      </c>
      <c r="B124">
        <f>IF(RAND()&lt;0.55,1,-1)</f>
        <v/>
      </c>
      <c r="C124">
        <f>B124*0.02</f>
        <v/>
      </c>
      <c r="D124">
        <f>D123*(1+C124)</f>
        <v/>
      </c>
    </row>
    <row r="125">
      <c r="A125" t="n">
        <v>124</v>
      </c>
      <c r="B125">
        <f>IF(RAND()&lt;0.55,1,-1)</f>
        <v/>
      </c>
      <c r="C125">
        <f>B125*0.02</f>
        <v/>
      </c>
      <c r="D125">
        <f>D124*(1+C125)</f>
        <v/>
      </c>
    </row>
    <row r="126">
      <c r="A126" t="n">
        <v>125</v>
      </c>
      <c r="B126">
        <f>IF(RAND()&lt;0.55,1,-1)</f>
        <v/>
      </c>
      <c r="C126">
        <f>B126*0.02</f>
        <v/>
      </c>
      <c r="D126">
        <f>D125*(1+C126)</f>
        <v/>
      </c>
    </row>
    <row r="127">
      <c r="A127" t="n">
        <v>126</v>
      </c>
      <c r="B127">
        <f>IF(RAND()&lt;0.55,1,-1)</f>
        <v/>
      </c>
      <c r="C127">
        <f>B127*0.02</f>
        <v/>
      </c>
      <c r="D127">
        <f>D126*(1+C127)</f>
        <v/>
      </c>
    </row>
    <row r="128">
      <c r="A128" t="n">
        <v>127</v>
      </c>
      <c r="B128">
        <f>IF(RAND()&lt;0.55,1,-1)</f>
        <v/>
      </c>
      <c r="C128">
        <f>B128*0.02</f>
        <v/>
      </c>
      <c r="D128">
        <f>D127*(1+C128)</f>
        <v/>
      </c>
    </row>
    <row r="129">
      <c r="A129" t="n">
        <v>128</v>
      </c>
      <c r="B129">
        <f>IF(RAND()&lt;0.55,1,-1)</f>
        <v/>
      </c>
      <c r="C129">
        <f>B129*0.02</f>
        <v/>
      </c>
      <c r="D129">
        <f>D128*(1+C129)</f>
        <v/>
      </c>
    </row>
    <row r="130">
      <c r="A130" t="n">
        <v>129</v>
      </c>
      <c r="B130">
        <f>IF(RAND()&lt;0.55,1,-1)</f>
        <v/>
      </c>
      <c r="C130">
        <f>B130*0.02</f>
        <v/>
      </c>
      <c r="D130">
        <f>D129*(1+C130)</f>
        <v/>
      </c>
    </row>
    <row r="131">
      <c r="A131" t="n">
        <v>130</v>
      </c>
      <c r="B131">
        <f>IF(RAND()&lt;0.55,1,-1)</f>
        <v/>
      </c>
      <c r="C131">
        <f>B131*0.02</f>
        <v/>
      </c>
      <c r="D131">
        <f>D130*(1+C131)</f>
        <v/>
      </c>
    </row>
    <row r="132">
      <c r="A132" t="n">
        <v>131</v>
      </c>
      <c r="B132">
        <f>IF(RAND()&lt;0.55,1,-1)</f>
        <v/>
      </c>
      <c r="C132">
        <f>B132*0.02</f>
        <v/>
      </c>
      <c r="D132">
        <f>D131*(1+C132)</f>
        <v/>
      </c>
    </row>
    <row r="133">
      <c r="A133" t="n">
        <v>132</v>
      </c>
      <c r="B133">
        <f>IF(RAND()&lt;0.55,1,-1)</f>
        <v/>
      </c>
      <c r="C133">
        <f>B133*0.02</f>
        <v/>
      </c>
      <c r="D133">
        <f>D132*(1+C133)</f>
        <v/>
      </c>
    </row>
    <row r="134">
      <c r="A134" t="n">
        <v>133</v>
      </c>
      <c r="B134">
        <f>IF(RAND()&lt;0.55,1,-1)</f>
        <v/>
      </c>
      <c r="C134">
        <f>B134*0.02</f>
        <v/>
      </c>
      <c r="D134">
        <f>D133*(1+C134)</f>
        <v/>
      </c>
    </row>
    <row r="135">
      <c r="A135" t="n">
        <v>134</v>
      </c>
      <c r="B135">
        <f>IF(RAND()&lt;0.55,1,-1)</f>
        <v/>
      </c>
      <c r="C135">
        <f>B135*0.02</f>
        <v/>
      </c>
      <c r="D135">
        <f>D134*(1+C135)</f>
        <v/>
      </c>
    </row>
    <row r="136">
      <c r="A136" t="n">
        <v>135</v>
      </c>
      <c r="B136">
        <f>IF(RAND()&lt;0.55,1,-1)</f>
        <v/>
      </c>
      <c r="C136">
        <f>B136*0.02</f>
        <v/>
      </c>
      <c r="D136">
        <f>D135*(1+C136)</f>
        <v/>
      </c>
    </row>
    <row r="137">
      <c r="A137" t="n">
        <v>136</v>
      </c>
      <c r="B137">
        <f>IF(RAND()&lt;0.55,1,-1)</f>
        <v/>
      </c>
      <c r="C137">
        <f>B137*0.02</f>
        <v/>
      </c>
      <c r="D137">
        <f>D136*(1+C137)</f>
        <v/>
      </c>
    </row>
    <row r="138">
      <c r="A138" t="n">
        <v>137</v>
      </c>
      <c r="B138">
        <f>IF(RAND()&lt;0.55,1,-1)</f>
        <v/>
      </c>
      <c r="C138">
        <f>B138*0.02</f>
        <v/>
      </c>
      <c r="D138">
        <f>D137*(1+C138)</f>
        <v/>
      </c>
    </row>
    <row r="139">
      <c r="A139" t="n">
        <v>138</v>
      </c>
      <c r="B139">
        <f>IF(RAND()&lt;0.55,1,-1)</f>
        <v/>
      </c>
      <c r="C139">
        <f>B139*0.02</f>
        <v/>
      </c>
      <c r="D139">
        <f>D138*(1+C139)</f>
        <v/>
      </c>
    </row>
    <row r="140">
      <c r="A140" t="n">
        <v>139</v>
      </c>
      <c r="B140">
        <f>IF(RAND()&lt;0.55,1,-1)</f>
        <v/>
      </c>
      <c r="C140">
        <f>B140*0.02</f>
        <v/>
      </c>
      <c r="D140">
        <f>D139*(1+C140)</f>
        <v/>
      </c>
    </row>
    <row r="141">
      <c r="A141" t="n">
        <v>140</v>
      </c>
      <c r="B141">
        <f>IF(RAND()&lt;0.55,1,-1)</f>
        <v/>
      </c>
      <c r="C141">
        <f>B141*0.02</f>
        <v/>
      </c>
      <c r="D141">
        <f>D140*(1+C141)</f>
        <v/>
      </c>
    </row>
    <row r="142">
      <c r="A142" t="n">
        <v>141</v>
      </c>
      <c r="B142">
        <f>IF(RAND()&lt;0.55,1,-1)</f>
        <v/>
      </c>
      <c r="C142">
        <f>B142*0.02</f>
        <v/>
      </c>
      <c r="D142">
        <f>D141*(1+C142)</f>
        <v/>
      </c>
    </row>
    <row r="143">
      <c r="A143" t="n">
        <v>142</v>
      </c>
      <c r="B143">
        <f>IF(RAND()&lt;0.55,1,-1)</f>
        <v/>
      </c>
      <c r="C143">
        <f>B143*0.02</f>
        <v/>
      </c>
      <c r="D143">
        <f>D142*(1+C143)</f>
        <v/>
      </c>
    </row>
    <row r="144">
      <c r="A144" t="n">
        <v>143</v>
      </c>
      <c r="B144">
        <f>IF(RAND()&lt;0.55,1,-1)</f>
        <v/>
      </c>
      <c r="C144">
        <f>B144*0.02</f>
        <v/>
      </c>
      <c r="D144">
        <f>D143*(1+C144)</f>
        <v/>
      </c>
    </row>
    <row r="145">
      <c r="A145" t="n">
        <v>144</v>
      </c>
      <c r="B145">
        <f>IF(RAND()&lt;0.55,1,-1)</f>
        <v/>
      </c>
      <c r="C145">
        <f>B145*0.02</f>
        <v/>
      </c>
      <c r="D145">
        <f>D144*(1+C145)</f>
        <v/>
      </c>
    </row>
    <row r="146">
      <c r="A146" t="n">
        <v>145</v>
      </c>
      <c r="B146">
        <f>IF(RAND()&lt;0.55,1,-1)</f>
        <v/>
      </c>
      <c r="C146">
        <f>B146*0.02</f>
        <v/>
      </c>
      <c r="D146">
        <f>D145*(1+C146)</f>
        <v/>
      </c>
    </row>
    <row r="147">
      <c r="A147" t="n">
        <v>146</v>
      </c>
      <c r="B147">
        <f>IF(RAND()&lt;0.55,1,-1)</f>
        <v/>
      </c>
      <c r="C147">
        <f>B147*0.02</f>
        <v/>
      </c>
      <c r="D147">
        <f>D146*(1+C147)</f>
        <v/>
      </c>
    </row>
    <row r="148">
      <c r="A148" t="n">
        <v>147</v>
      </c>
      <c r="B148">
        <f>IF(RAND()&lt;0.55,1,-1)</f>
        <v/>
      </c>
      <c r="C148">
        <f>B148*0.02</f>
        <v/>
      </c>
      <c r="D148">
        <f>D147*(1+C148)</f>
        <v/>
      </c>
    </row>
    <row r="149">
      <c r="A149" t="n">
        <v>148</v>
      </c>
      <c r="B149">
        <f>IF(RAND()&lt;0.55,1,-1)</f>
        <v/>
      </c>
      <c r="C149">
        <f>B149*0.02</f>
        <v/>
      </c>
      <c r="D149">
        <f>D148*(1+C149)</f>
        <v/>
      </c>
    </row>
    <row r="150">
      <c r="A150" t="n">
        <v>149</v>
      </c>
      <c r="B150">
        <f>IF(RAND()&lt;0.55,1,-1)</f>
        <v/>
      </c>
      <c r="C150">
        <f>B150*0.02</f>
        <v/>
      </c>
      <c r="D150">
        <f>D149*(1+C150)</f>
        <v/>
      </c>
    </row>
    <row r="151">
      <c r="A151" t="n">
        <v>150</v>
      </c>
      <c r="B151">
        <f>IF(RAND()&lt;0.55,1,-1)</f>
        <v/>
      </c>
      <c r="C151">
        <f>B151*0.02</f>
        <v/>
      </c>
      <c r="D151">
        <f>D150*(1+C151)</f>
        <v/>
      </c>
    </row>
    <row r="152">
      <c r="A152" t="n">
        <v>151</v>
      </c>
      <c r="B152">
        <f>IF(RAND()&lt;0.55,1,-1)</f>
        <v/>
      </c>
      <c r="C152">
        <f>B152*0.02</f>
        <v/>
      </c>
      <c r="D152">
        <f>D151*(1+C152)</f>
        <v/>
      </c>
    </row>
    <row r="153">
      <c r="A153" t="n">
        <v>152</v>
      </c>
      <c r="B153">
        <f>IF(RAND()&lt;0.55,1,-1)</f>
        <v/>
      </c>
      <c r="C153">
        <f>B153*0.02</f>
        <v/>
      </c>
      <c r="D153">
        <f>D152*(1+C153)</f>
        <v/>
      </c>
    </row>
    <row r="154">
      <c r="A154" t="n">
        <v>153</v>
      </c>
      <c r="B154">
        <f>IF(RAND()&lt;0.55,1,-1)</f>
        <v/>
      </c>
      <c r="C154">
        <f>B154*0.02</f>
        <v/>
      </c>
      <c r="D154">
        <f>D153*(1+C154)</f>
        <v/>
      </c>
    </row>
    <row r="155">
      <c r="A155" t="n">
        <v>154</v>
      </c>
      <c r="B155">
        <f>IF(RAND()&lt;0.55,1,-1)</f>
        <v/>
      </c>
      <c r="C155">
        <f>B155*0.02</f>
        <v/>
      </c>
      <c r="D155">
        <f>D154*(1+C155)</f>
        <v/>
      </c>
    </row>
    <row r="156">
      <c r="A156" t="n">
        <v>155</v>
      </c>
      <c r="B156">
        <f>IF(RAND()&lt;0.55,1,-1)</f>
        <v/>
      </c>
      <c r="C156">
        <f>B156*0.02</f>
        <v/>
      </c>
      <c r="D156">
        <f>D155*(1+C156)</f>
        <v/>
      </c>
    </row>
    <row r="157">
      <c r="A157" t="n">
        <v>156</v>
      </c>
      <c r="B157">
        <f>IF(RAND()&lt;0.55,1,-1)</f>
        <v/>
      </c>
      <c r="C157">
        <f>B157*0.02</f>
        <v/>
      </c>
      <c r="D157">
        <f>D156*(1+C157)</f>
        <v/>
      </c>
    </row>
    <row r="158">
      <c r="A158" t="n">
        <v>157</v>
      </c>
      <c r="B158">
        <f>IF(RAND()&lt;0.55,1,-1)</f>
        <v/>
      </c>
      <c r="C158">
        <f>B158*0.02</f>
        <v/>
      </c>
      <c r="D158">
        <f>D157*(1+C158)</f>
        <v/>
      </c>
    </row>
    <row r="159">
      <c r="A159" t="n">
        <v>158</v>
      </c>
      <c r="B159">
        <f>IF(RAND()&lt;0.55,1,-1)</f>
        <v/>
      </c>
      <c r="C159">
        <f>B159*0.02</f>
        <v/>
      </c>
      <c r="D159">
        <f>D158*(1+C159)</f>
        <v/>
      </c>
    </row>
    <row r="160">
      <c r="A160" t="n">
        <v>159</v>
      </c>
      <c r="B160">
        <f>IF(RAND()&lt;0.55,1,-1)</f>
        <v/>
      </c>
      <c r="C160">
        <f>B160*0.02</f>
        <v/>
      </c>
      <c r="D160">
        <f>D159*(1+C160)</f>
        <v/>
      </c>
    </row>
    <row r="161">
      <c r="A161" t="n">
        <v>160</v>
      </c>
      <c r="B161">
        <f>IF(RAND()&lt;0.55,1,-1)</f>
        <v/>
      </c>
      <c r="C161">
        <f>B161*0.02</f>
        <v/>
      </c>
      <c r="D161">
        <f>D160*(1+C161)</f>
        <v/>
      </c>
    </row>
    <row r="162">
      <c r="A162" t="n">
        <v>161</v>
      </c>
      <c r="B162">
        <f>IF(RAND()&lt;0.55,1,-1)</f>
        <v/>
      </c>
      <c r="C162">
        <f>B162*0.02</f>
        <v/>
      </c>
      <c r="D162">
        <f>D161*(1+C162)</f>
        <v/>
      </c>
    </row>
    <row r="163">
      <c r="A163" t="n">
        <v>162</v>
      </c>
      <c r="B163">
        <f>IF(RAND()&lt;0.55,1,-1)</f>
        <v/>
      </c>
      <c r="C163">
        <f>B163*0.02</f>
        <v/>
      </c>
      <c r="D163">
        <f>D162*(1+C163)</f>
        <v/>
      </c>
    </row>
    <row r="164">
      <c r="A164" t="n">
        <v>163</v>
      </c>
      <c r="B164">
        <f>IF(RAND()&lt;0.55,1,-1)</f>
        <v/>
      </c>
      <c r="C164">
        <f>B164*0.02</f>
        <v/>
      </c>
      <c r="D164">
        <f>D163*(1+C164)</f>
        <v/>
      </c>
    </row>
    <row r="165">
      <c r="A165" t="n">
        <v>164</v>
      </c>
      <c r="B165">
        <f>IF(RAND()&lt;0.55,1,-1)</f>
        <v/>
      </c>
      <c r="C165">
        <f>B165*0.02</f>
        <v/>
      </c>
      <c r="D165">
        <f>D164*(1+C165)</f>
        <v/>
      </c>
    </row>
    <row r="166">
      <c r="A166" t="n">
        <v>165</v>
      </c>
      <c r="B166">
        <f>IF(RAND()&lt;0.55,1,-1)</f>
        <v/>
      </c>
      <c r="C166">
        <f>B166*0.02</f>
        <v/>
      </c>
      <c r="D166">
        <f>D165*(1+C166)</f>
        <v/>
      </c>
    </row>
    <row r="167">
      <c r="A167" t="n">
        <v>166</v>
      </c>
      <c r="B167">
        <f>IF(RAND()&lt;0.55,1,-1)</f>
        <v/>
      </c>
      <c r="C167">
        <f>B167*0.02</f>
        <v/>
      </c>
      <c r="D167">
        <f>D166*(1+C167)</f>
        <v/>
      </c>
    </row>
    <row r="168">
      <c r="A168" t="n">
        <v>167</v>
      </c>
      <c r="B168">
        <f>IF(RAND()&lt;0.55,1,-1)</f>
        <v/>
      </c>
      <c r="C168">
        <f>B168*0.02</f>
        <v/>
      </c>
      <c r="D168">
        <f>D167*(1+C168)</f>
        <v/>
      </c>
    </row>
    <row r="169">
      <c r="A169" t="n">
        <v>168</v>
      </c>
      <c r="B169">
        <f>IF(RAND()&lt;0.55,1,-1)</f>
        <v/>
      </c>
      <c r="C169">
        <f>B169*0.02</f>
        <v/>
      </c>
      <c r="D169">
        <f>D168*(1+C169)</f>
        <v/>
      </c>
    </row>
    <row r="170">
      <c r="A170" t="n">
        <v>169</v>
      </c>
      <c r="B170">
        <f>IF(RAND()&lt;0.55,1,-1)</f>
        <v/>
      </c>
      <c r="C170">
        <f>B170*0.02</f>
        <v/>
      </c>
      <c r="D170">
        <f>D169*(1+C170)</f>
        <v/>
      </c>
    </row>
    <row r="171">
      <c r="A171" t="n">
        <v>170</v>
      </c>
      <c r="B171">
        <f>IF(RAND()&lt;0.55,1,-1)</f>
        <v/>
      </c>
      <c r="C171">
        <f>B171*0.02</f>
        <v/>
      </c>
      <c r="D171">
        <f>D170*(1+C171)</f>
        <v/>
      </c>
    </row>
    <row r="172">
      <c r="A172" t="n">
        <v>171</v>
      </c>
      <c r="B172">
        <f>IF(RAND()&lt;0.55,1,-1)</f>
        <v/>
      </c>
      <c r="C172">
        <f>B172*0.02</f>
        <v/>
      </c>
      <c r="D172">
        <f>D171*(1+C172)</f>
        <v/>
      </c>
    </row>
    <row r="173">
      <c r="A173" t="n">
        <v>172</v>
      </c>
      <c r="B173">
        <f>IF(RAND()&lt;0.55,1,-1)</f>
        <v/>
      </c>
      <c r="C173">
        <f>B173*0.02</f>
        <v/>
      </c>
      <c r="D173">
        <f>D172*(1+C173)</f>
        <v/>
      </c>
    </row>
    <row r="174">
      <c r="A174" t="n">
        <v>173</v>
      </c>
      <c r="B174">
        <f>IF(RAND()&lt;0.55,1,-1)</f>
        <v/>
      </c>
      <c r="C174">
        <f>B174*0.02</f>
        <v/>
      </c>
      <c r="D174">
        <f>D173*(1+C174)</f>
        <v/>
      </c>
    </row>
    <row r="175">
      <c r="A175" t="n">
        <v>174</v>
      </c>
      <c r="B175">
        <f>IF(RAND()&lt;0.55,1,-1)</f>
        <v/>
      </c>
      <c r="C175">
        <f>B175*0.02</f>
        <v/>
      </c>
      <c r="D175">
        <f>D174*(1+C175)</f>
        <v/>
      </c>
    </row>
    <row r="176">
      <c r="A176" t="n">
        <v>175</v>
      </c>
      <c r="B176">
        <f>IF(RAND()&lt;0.55,1,-1)</f>
        <v/>
      </c>
      <c r="C176">
        <f>B176*0.02</f>
        <v/>
      </c>
      <c r="D176">
        <f>D175*(1+C176)</f>
        <v/>
      </c>
    </row>
    <row r="177">
      <c r="A177" t="n">
        <v>176</v>
      </c>
      <c r="B177">
        <f>IF(RAND()&lt;0.55,1,-1)</f>
        <v/>
      </c>
      <c r="C177">
        <f>B177*0.02</f>
        <v/>
      </c>
      <c r="D177">
        <f>D176*(1+C177)</f>
        <v/>
      </c>
    </row>
    <row r="178">
      <c r="A178" t="n">
        <v>177</v>
      </c>
      <c r="B178">
        <f>IF(RAND()&lt;0.55,1,-1)</f>
        <v/>
      </c>
      <c r="C178">
        <f>B178*0.02</f>
        <v/>
      </c>
      <c r="D178">
        <f>D177*(1+C178)</f>
        <v/>
      </c>
    </row>
    <row r="179">
      <c r="A179" t="n">
        <v>178</v>
      </c>
      <c r="B179">
        <f>IF(RAND()&lt;0.55,1,-1)</f>
        <v/>
      </c>
      <c r="C179">
        <f>B179*0.02</f>
        <v/>
      </c>
      <c r="D179">
        <f>D178*(1+C179)</f>
        <v/>
      </c>
    </row>
    <row r="180">
      <c r="A180" t="n">
        <v>179</v>
      </c>
      <c r="B180">
        <f>IF(RAND()&lt;0.55,1,-1)</f>
        <v/>
      </c>
      <c r="C180">
        <f>B180*0.02</f>
        <v/>
      </c>
      <c r="D180">
        <f>D179*(1+C180)</f>
        <v/>
      </c>
    </row>
    <row r="181">
      <c r="A181" t="n">
        <v>180</v>
      </c>
      <c r="B181">
        <f>IF(RAND()&lt;0.55,1,-1)</f>
        <v/>
      </c>
      <c r="C181">
        <f>B181*0.02</f>
        <v/>
      </c>
      <c r="D181">
        <f>D180*(1+C181)</f>
        <v/>
      </c>
    </row>
    <row r="182">
      <c r="A182" t="n">
        <v>181</v>
      </c>
      <c r="B182">
        <f>IF(RAND()&lt;0.55,1,-1)</f>
        <v/>
      </c>
      <c r="C182">
        <f>B182*0.02</f>
        <v/>
      </c>
      <c r="D182">
        <f>D181*(1+C182)</f>
        <v/>
      </c>
    </row>
    <row r="183">
      <c r="A183" t="n">
        <v>182</v>
      </c>
      <c r="B183">
        <f>IF(RAND()&lt;0.55,1,-1)</f>
        <v/>
      </c>
      <c r="C183">
        <f>B183*0.02</f>
        <v/>
      </c>
      <c r="D183">
        <f>D182*(1+C183)</f>
        <v/>
      </c>
    </row>
    <row r="184">
      <c r="A184" t="n">
        <v>183</v>
      </c>
      <c r="B184">
        <f>IF(RAND()&lt;0.55,1,-1)</f>
        <v/>
      </c>
      <c r="C184">
        <f>B184*0.02</f>
        <v/>
      </c>
      <c r="D184">
        <f>D183*(1+C184)</f>
        <v/>
      </c>
    </row>
    <row r="185">
      <c r="A185" t="n">
        <v>184</v>
      </c>
      <c r="B185">
        <f>IF(RAND()&lt;0.55,1,-1)</f>
        <v/>
      </c>
      <c r="C185">
        <f>B185*0.02</f>
        <v/>
      </c>
      <c r="D185">
        <f>D184*(1+C185)</f>
        <v/>
      </c>
    </row>
    <row r="186">
      <c r="A186" t="n">
        <v>185</v>
      </c>
      <c r="B186">
        <f>IF(RAND()&lt;0.55,1,-1)</f>
        <v/>
      </c>
      <c r="C186">
        <f>B186*0.02</f>
        <v/>
      </c>
      <c r="D186">
        <f>D185*(1+C186)</f>
        <v/>
      </c>
    </row>
    <row r="187">
      <c r="A187" t="n">
        <v>186</v>
      </c>
      <c r="B187">
        <f>IF(RAND()&lt;0.55,1,-1)</f>
        <v/>
      </c>
      <c r="C187">
        <f>B187*0.02</f>
        <v/>
      </c>
      <c r="D187">
        <f>D186*(1+C187)</f>
        <v/>
      </c>
    </row>
    <row r="188">
      <c r="A188" t="n">
        <v>187</v>
      </c>
      <c r="B188">
        <f>IF(RAND()&lt;0.55,1,-1)</f>
        <v/>
      </c>
      <c r="C188">
        <f>B188*0.02</f>
        <v/>
      </c>
      <c r="D188">
        <f>D187*(1+C188)</f>
        <v/>
      </c>
    </row>
    <row r="189">
      <c r="A189" t="n">
        <v>188</v>
      </c>
      <c r="B189">
        <f>IF(RAND()&lt;0.55,1,-1)</f>
        <v/>
      </c>
      <c r="C189">
        <f>B189*0.02</f>
        <v/>
      </c>
      <c r="D189">
        <f>D188*(1+C189)</f>
        <v/>
      </c>
    </row>
    <row r="190">
      <c r="A190" t="n">
        <v>189</v>
      </c>
      <c r="B190">
        <f>IF(RAND()&lt;0.55,1,-1)</f>
        <v/>
      </c>
      <c r="C190">
        <f>B190*0.02</f>
        <v/>
      </c>
      <c r="D190">
        <f>D189*(1+C190)</f>
        <v/>
      </c>
    </row>
    <row r="191">
      <c r="A191" t="n">
        <v>190</v>
      </c>
      <c r="B191">
        <f>IF(RAND()&lt;0.55,1,-1)</f>
        <v/>
      </c>
      <c r="C191">
        <f>B191*0.02</f>
        <v/>
      </c>
      <c r="D191">
        <f>D190*(1+C191)</f>
        <v/>
      </c>
    </row>
    <row r="192">
      <c r="A192" t="n">
        <v>191</v>
      </c>
      <c r="B192">
        <f>IF(RAND()&lt;0.55,1,-1)</f>
        <v/>
      </c>
      <c r="C192">
        <f>B192*0.02</f>
        <v/>
      </c>
      <c r="D192">
        <f>D191*(1+C192)</f>
        <v/>
      </c>
    </row>
    <row r="193">
      <c r="A193" t="n">
        <v>192</v>
      </c>
      <c r="B193">
        <f>IF(RAND()&lt;0.55,1,-1)</f>
        <v/>
      </c>
      <c r="C193">
        <f>B193*0.02</f>
        <v/>
      </c>
      <c r="D193">
        <f>D192*(1+C193)</f>
        <v/>
      </c>
    </row>
    <row r="194">
      <c r="A194" t="n">
        <v>193</v>
      </c>
      <c r="B194">
        <f>IF(RAND()&lt;0.55,1,-1)</f>
        <v/>
      </c>
      <c r="C194">
        <f>B194*0.02</f>
        <v/>
      </c>
      <c r="D194">
        <f>D193*(1+C194)</f>
        <v/>
      </c>
    </row>
    <row r="195">
      <c r="A195" t="n">
        <v>194</v>
      </c>
      <c r="B195">
        <f>IF(RAND()&lt;0.55,1,-1)</f>
        <v/>
      </c>
      <c r="C195">
        <f>B195*0.02</f>
        <v/>
      </c>
      <c r="D195">
        <f>D194*(1+C195)</f>
        <v/>
      </c>
    </row>
    <row r="196">
      <c r="A196" t="n">
        <v>195</v>
      </c>
      <c r="B196">
        <f>IF(RAND()&lt;0.55,1,-1)</f>
        <v/>
      </c>
      <c r="C196">
        <f>B196*0.02</f>
        <v/>
      </c>
      <c r="D196">
        <f>D195*(1+C196)</f>
        <v/>
      </c>
    </row>
    <row r="197">
      <c r="A197" t="n">
        <v>196</v>
      </c>
      <c r="B197">
        <f>IF(RAND()&lt;0.55,1,-1)</f>
        <v/>
      </c>
      <c r="C197">
        <f>B197*0.02</f>
        <v/>
      </c>
      <c r="D197">
        <f>D196*(1+C197)</f>
        <v/>
      </c>
    </row>
    <row r="198">
      <c r="A198" t="n">
        <v>197</v>
      </c>
      <c r="B198">
        <f>IF(RAND()&lt;0.55,1,-1)</f>
        <v/>
      </c>
      <c r="C198">
        <f>B198*0.02</f>
        <v/>
      </c>
      <c r="D198">
        <f>D197*(1+C198)</f>
        <v/>
      </c>
    </row>
    <row r="199">
      <c r="A199" t="n">
        <v>198</v>
      </c>
      <c r="B199">
        <f>IF(RAND()&lt;0.55,1,-1)</f>
        <v/>
      </c>
      <c r="C199">
        <f>B199*0.02</f>
        <v/>
      </c>
      <c r="D199">
        <f>D198*(1+C199)</f>
        <v/>
      </c>
    </row>
    <row r="200">
      <c r="A200" t="n">
        <v>199</v>
      </c>
      <c r="B200">
        <f>IF(RAND()&lt;0.55,1,-1)</f>
        <v/>
      </c>
      <c r="C200">
        <f>B200*0.02</f>
        <v/>
      </c>
      <c r="D200">
        <f>D199*(1+C200)</f>
        <v/>
      </c>
    </row>
    <row r="201">
      <c r="A201" t="n">
        <v>200</v>
      </c>
      <c r="B201">
        <f>IF(RAND()&lt;0.55,1,-1)</f>
        <v/>
      </c>
      <c r="C201">
        <f>B201*0.02</f>
        <v/>
      </c>
      <c r="D201">
        <f>D200*(1+C201)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 Rate (p)</t>
        </is>
      </c>
      <c r="B1" s="1" t="inlineStr">
        <is>
          <t>Reward/Risk (b)</t>
        </is>
      </c>
      <c r="C1" s="1" t="inlineStr">
        <is>
          <t>Kelly Fraction</t>
        </is>
      </c>
      <c r="D1" s="1" t="inlineStr">
        <is>
          <t>Adjusted Risk %</t>
        </is>
      </c>
    </row>
    <row r="2">
      <c r="C2">
        <f>IF(B2=0,0,(A2*(B2+1)-1)/B2)</f>
        <v/>
      </c>
      <c r="D2">
        <f>MAX(0,MIN(C2,0.05))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Observed Frequency</t>
        </is>
      </c>
      <c r="C1" s="1" t="inlineStr">
        <is>
          <t>Probability</t>
        </is>
      </c>
      <c r="D1" s="1" t="inlineStr">
        <is>
          <t>Weight Multiplier</t>
        </is>
      </c>
    </row>
    <row r="2">
      <c r="A2" t="inlineStr">
        <is>
          <t>HIGH</t>
        </is>
      </c>
      <c r="C2">
        <f>B2/SUM(B2:B4)</f>
        <v/>
      </c>
      <c r="D2">
        <f>1+C2</f>
        <v/>
      </c>
    </row>
    <row r="3">
      <c r="A3" t="inlineStr">
        <is>
          <t>NORMAL</t>
        </is>
      </c>
      <c r="C3">
        <f>B3/SUM(B2:B4)</f>
        <v/>
      </c>
      <c r="D3">
        <f>1+C3</f>
        <v/>
      </c>
    </row>
    <row r="4">
      <c r="A4" t="inlineStr">
        <is>
          <t>LOW</t>
        </is>
      </c>
      <c r="C4">
        <f>B4/SUM(B2:B4)</f>
        <v/>
      </c>
      <c r="D4">
        <f>1+C4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Prior Weight</t>
        </is>
      </c>
      <c r="C1" s="1" t="inlineStr">
        <is>
          <t>Likelihood</t>
        </is>
      </c>
      <c r="D1" s="1" t="inlineStr">
        <is>
          <t>Posterior Weight</t>
        </is>
      </c>
    </row>
    <row r="2">
      <c r="A2" t="inlineStr">
        <is>
          <t>Trend</t>
        </is>
      </c>
      <c r="D2">
        <f>B2*C2/SUMPRODUCT(B2:B6,C2:C6)</f>
        <v/>
      </c>
    </row>
    <row r="3">
      <c r="A3" t="inlineStr">
        <is>
          <t>Structure</t>
        </is>
      </c>
      <c r="D3">
        <f>B3*C3/SUMPRODUCT(B2:B6,C2:C6)</f>
        <v/>
      </c>
    </row>
    <row r="4">
      <c r="A4" t="inlineStr">
        <is>
          <t>Volume</t>
        </is>
      </c>
      <c r="D4">
        <f>B4*C4/SUMPRODUCT(B2:B6,C2:C6)</f>
        <v/>
      </c>
    </row>
    <row r="5">
      <c r="A5" t="inlineStr">
        <is>
          <t>Volatility</t>
        </is>
      </c>
      <c r="D5">
        <f>B5*C5/SUMPRODUCT(B2:B6,C2:C6)</f>
        <v/>
      </c>
    </row>
    <row r="6">
      <c r="A6" t="inlineStr">
        <is>
          <t>Risk</t>
        </is>
      </c>
      <c r="D6">
        <f>B6*C6/SUMPRODUCT(B2:B6,C2:C6)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 Regime</t>
        </is>
      </c>
      <c r="B1" s="1" t="inlineStr">
        <is>
          <t>Transition Prob</t>
        </is>
      </c>
      <c r="C1" s="1" t="inlineStr">
        <is>
          <t>Observed Signal</t>
        </is>
      </c>
      <c r="D1" s="1" t="inlineStr">
        <is>
          <t>Next Regime Prob</t>
        </is>
      </c>
    </row>
    <row r="2">
      <c r="A2" t="inlineStr">
        <is>
          <t>HIGH</t>
        </is>
      </c>
      <c r="D2">
        <f>B2*C2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Phase</t>
        </is>
      </c>
    </row>
    <row r="2">
      <c r="C2">
        <f>IF(B2=0,0,(B2-A2)/B2)</f>
        <v/>
      </c>
      <c r="D2">
        <f>IF(C2&gt;0.20,"CRISIS",IF(C2&gt;0.10,"WARNING","STABLE"))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 Series</t>
        </is>
      </c>
      <c r="B1" s="1" t="inlineStr">
        <is>
          <t>ATR StdDev</t>
        </is>
      </c>
      <c r="C1" s="1" t="inlineStr">
        <is>
          <t>Vol-of-Vol Ratio</t>
        </is>
      </c>
      <c r="D1" s="1" t="inlineStr">
        <is>
          <t>Filter Status</t>
        </is>
      </c>
    </row>
    <row r="2">
      <c r="B2">
        <f>STDEV(A2:A21)</f>
        <v/>
      </c>
      <c r="C2">
        <f>IF(A2=0,0,B2/A2)</f>
        <v/>
      </c>
      <c r="D2">
        <f>IF(C2&gt;0.5,"UNSTABLE","STABLE")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Profit</t>
        </is>
      </c>
      <c r="B1" s="1" t="inlineStr">
        <is>
          <t>Time Period</t>
        </is>
      </c>
      <c r="C1" s="1" t="inlineStr">
        <is>
          <t>Capital Velocity</t>
        </is>
      </c>
      <c r="D1" s="1" t="inlineStr">
        <is>
          <t>Optimization Signal</t>
        </is>
      </c>
    </row>
    <row r="2">
      <c r="C2">
        <f>IF(B2=0,0,A2/B2)</f>
        <v/>
      </c>
      <c r="D2">
        <f>IF(C2&gt;0.02,"ACCELERATE","HOLD")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Adjustment Multiplier</t>
        </is>
      </c>
    </row>
    <row r="2">
      <c r="A2" t="inlineStr">
        <is>
          <t>Win Rate</t>
        </is>
      </c>
      <c r="D2">
        <f>IF(B2&lt;C2,0.95,1.05)</f>
        <v/>
      </c>
    </row>
    <row r="3">
      <c r="A3" t="inlineStr">
        <is>
          <t>Profit Factor</t>
        </is>
      </c>
      <c r="D3">
        <f>IF(B3&lt;C3,0.97,1.03)</f>
        <v/>
      </c>
    </row>
    <row r="4">
      <c r="A4" t="inlineStr">
        <is>
          <t>Max Drawdown</t>
        </is>
      </c>
      <c r="D4">
        <f>IF(B4&gt;C4,0.90,1.02)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Performance Score</t>
        </is>
      </c>
      <c r="C1" s="1" t="inlineStr">
        <is>
          <t>Capital %</t>
        </is>
      </c>
      <c r="D1" s="1" t="inlineStr">
        <is>
          <t>Allocated Capital</t>
        </is>
      </c>
    </row>
    <row r="2">
      <c r="A2" t="inlineStr">
        <is>
          <t>Strategy_A</t>
        </is>
      </c>
      <c r="C2">
        <f>B2/SUM(B2:B6)</f>
        <v/>
      </c>
      <c r="D2">
        <f>C2*100000</f>
        <v/>
      </c>
    </row>
    <row r="3">
      <c r="A3" t="inlineStr">
        <is>
          <t>Strategy_B</t>
        </is>
      </c>
      <c r="C3">
        <f>B3/SUM(B2:B6)</f>
        <v/>
      </c>
      <c r="D3">
        <f>C3*100000</f>
        <v/>
      </c>
    </row>
    <row r="4">
      <c r="A4" t="inlineStr">
        <is>
          <t>Strategy_C</t>
        </is>
      </c>
      <c r="C4">
        <f>B4/SUM(B2:B6)</f>
        <v/>
      </c>
      <c r="D4">
        <f>C4*100000</f>
        <v/>
      </c>
    </row>
    <row r="5">
      <c r="A5" t="inlineStr">
        <is>
          <t>Strategy_D</t>
        </is>
      </c>
      <c r="C5">
        <f>B5/SUM(B2:B6)</f>
        <v/>
      </c>
      <c r="D5">
        <f>C5*100000</f>
        <v/>
      </c>
    </row>
    <row r="6">
      <c r="A6" t="inlineStr">
        <is>
          <t>Strategy_E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Slope</t>
        </is>
      </c>
      <c r="B1" s="1" t="inlineStr">
        <is>
          <t>Volatility Regime</t>
        </is>
      </c>
      <c r="C1" s="1" t="inlineStr">
        <is>
          <t>Risk Base %</t>
        </is>
      </c>
      <c r="D1" s="1" t="inlineStr">
        <is>
          <t>Final Risk %</t>
        </is>
      </c>
    </row>
    <row r="2">
      <c r="D2">
        <f>IF(A2="UPTREND",C2*1.1,IF(A2="DOWNTREND",C2*0.7,C2))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Weight Set ID</t>
        </is>
      </c>
      <c r="C1" s="1" t="inlineStr">
        <is>
          <t>Risk Level</t>
        </is>
      </c>
      <c r="D1" s="1" t="inlineStr">
        <is>
          <t>Capital Growth %</t>
        </is>
      </c>
      <c r="E1" s="1" t="inlineStr">
        <is>
          <t>Keep/Replace</t>
        </is>
      </c>
    </row>
    <row r="2">
      <c r="A2" t="n">
        <v>1</v>
      </c>
      <c r="E2">
        <f>IF(D2&gt;0,"KEEP","REPLACE")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Weight Set</t>
        </is>
      </c>
      <c r="C1" s="1" t="inlineStr">
        <is>
          <t>Risk %</t>
        </is>
      </c>
      <c r="D1" s="1" t="inlineStr">
        <is>
          <t>Regime Mode</t>
        </is>
      </c>
      <c r="E1" s="1" t="inlineStr">
        <is>
          <t>Equity</t>
        </is>
      </c>
      <c r="F1" s="1" t="inlineStr">
        <is>
          <t>Sharpe Proxy</t>
        </is>
      </c>
      <c r="G1" s="1" t="inlineStr">
        <is>
          <t>Drawdown %</t>
        </is>
      </c>
      <c r="H1" s="1" t="inlineStr">
        <is>
          <t>Composite Score</t>
        </is>
      </c>
    </row>
    <row r="2">
      <c r="A2" t="inlineStr">
        <is>
          <t>STRAT_1</t>
        </is>
      </c>
      <c r="H2">
        <f>E2*0.4 + F2*0.3 - G2*0.3</f>
        <v/>
      </c>
    </row>
    <row r="3">
      <c r="A3" t="inlineStr">
        <is>
          <t>STRAT_2</t>
        </is>
      </c>
      <c r="H3">
        <f>E3*0.4 + F3*0.3 - G3*0.3</f>
        <v/>
      </c>
    </row>
    <row r="4">
      <c r="A4" t="inlineStr">
        <is>
          <t>STRAT_3</t>
        </is>
      </c>
      <c r="H4">
        <f>E4*0.4 + F4*0.3 - G4*0.3</f>
        <v/>
      </c>
    </row>
    <row r="5">
      <c r="A5" t="inlineStr">
        <is>
          <t>STRAT_4</t>
        </is>
      </c>
      <c r="H5">
        <f>E5*0.4 + F5*0.3 - G5*0.3</f>
        <v/>
      </c>
    </row>
    <row r="6">
      <c r="A6" t="inlineStr">
        <is>
          <t>STRAT_5</t>
        </is>
      </c>
      <c r="H6">
        <f>E6*0.4 + F6*0.3 - G6*0.3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Trade #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PnL</t>
        </is>
      </c>
      <c r="F1" s="1" t="inlineStr">
        <is>
          <t>Cumulative Equity</t>
        </is>
      </c>
    </row>
    <row r="2">
      <c r="A2" t="inlineStr">
        <is>
          <t>STRAT_1</t>
        </is>
      </c>
      <c r="B2" t="n">
        <v>1</v>
      </c>
      <c r="E2">
        <f>C2*D2</f>
        <v/>
      </c>
      <c r="F2">
        <f>100000+E2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Status</t>
        </is>
      </c>
    </row>
    <row r="2">
      <c r="A2" t="inlineStr">
        <is>
          <t>STRAT_1</t>
        </is>
      </c>
      <c r="C2">
        <f>RANK(B2,B2:B6)</f>
        <v/>
      </c>
      <c r="D2">
        <f>IF(C2&lt;=2,"SURVIVE","REPLACE")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STRAT_1</t>
        </is>
      </c>
      <c r="C2">
        <f>B2/SUM(B2:B6)</f>
        <v/>
      </c>
      <c r="D2">
        <f>C2*100000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Fund Equity</t>
        </is>
      </c>
    </row>
    <row r="3">
      <c r="A3" t="inlineStr">
        <is>
          <t>Best Strategy ID</t>
        </is>
      </c>
    </row>
    <row r="4">
      <c r="A4" t="inlineStr">
        <is>
          <t>Worst Strategy ID</t>
        </is>
      </c>
    </row>
    <row r="5">
      <c r="A5" t="inlineStr">
        <is>
          <t>Fund-Level Sharpe Proxy</t>
        </is>
      </c>
    </row>
    <row r="6">
      <c r="A6" t="inlineStr">
        <is>
          <t>Fund Max Drawdown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Strategy</t>
        </is>
      </c>
      <c r="B1" s="1" t="inlineStr">
        <is>
          <t>Base Weight</t>
        </is>
      </c>
      <c r="C1" s="1" t="inlineStr">
        <is>
          <t>Mutation Factor</t>
        </is>
      </c>
      <c r="D1" s="1" t="inlineStr">
        <is>
          <t>Mutated Weight</t>
        </is>
      </c>
    </row>
    <row r="2">
      <c r="A2" t="inlineStr">
        <is>
          <t>STRAT_1</t>
        </is>
      </c>
      <c r="C2">
        <f>RAND()*0.2-0.1</f>
        <v/>
      </c>
      <c r="D2">
        <f>B2*(1+C2)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 Score</t>
        </is>
      </c>
      <c r="B1" s="1" t="inlineStr">
        <is>
          <t>Parent B Score</t>
        </is>
      </c>
      <c r="C1" s="1" t="inlineStr">
        <is>
          <t>Offspring Weight</t>
        </is>
      </c>
      <c r="D1" s="1" t="inlineStr">
        <is>
          <t>Selection Bias</t>
        </is>
      </c>
    </row>
    <row r="2">
      <c r="C2">
        <f>AVERAGE(A2,B2)</f>
        <v/>
      </c>
      <c r="D2">
        <f>IF(A2&gt;B2,"A_DOMINANT","B_DOMINANT")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A</t>
        </is>
      </c>
      <c r="B1" s="1" t="inlineStr">
        <is>
          <t>Strategy B</t>
        </is>
      </c>
      <c r="C1" s="1" t="inlineStr">
        <is>
          <t>Swap %</t>
        </is>
      </c>
      <c r="D1" s="1" t="inlineStr">
        <is>
          <t>Resulting Hybrid Score</t>
        </is>
      </c>
    </row>
    <row r="2">
      <c r="A2" t="inlineStr">
        <is>
          <t>STRAT_1</t>
        </is>
      </c>
      <c r="B2" t="inlineStr">
        <is>
          <t>STRAT_2</t>
        </is>
      </c>
      <c r="C2" t="inlineStr">
        <is>
          <t>0.5</t>
        </is>
      </c>
      <c r="D2">
        <f>RAND()*100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 #</t>
        </is>
      </c>
      <c r="B1" s="1" t="inlineStr">
        <is>
          <t>Strategy ID</t>
        </is>
      </c>
      <c r="C1" s="1" t="inlineStr">
        <is>
          <t>Score</t>
        </is>
      </c>
      <c r="D1" s="1" t="inlineStr">
        <is>
          <t>Retained?</t>
        </is>
      </c>
    </row>
    <row r="2">
      <c r="A2" t="n">
        <v>1</v>
      </c>
      <c r="B2" t="inlineStr">
        <is>
          <t>STRAT_1</t>
        </is>
      </c>
      <c r="D2">
        <f>IF(C2&gt;50,"YES","NO")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Rate</t>
        </is>
      </c>
      <c r="B1" s="1" t="inlineStr">
        <is>
          <t>Selection Pressure</t>
        </is>
      </c>
      <c r="C1" s="1" t="inlineStr">
        <is>
          <t>Max Generations</t>
        </is>
      </c>
      <c r="D1" s="1" t="inlineStr">
        <is>
          <t>Evolution Active?</t>
        </is>
      </c>
    </row>
    <row r="2">
      <c r="A2" t="n">
        <v>0.1</v>
      </c>
      <c r="B2" t="n">
        <v>0.5</v>
      </c>
      <c r="C2" t="n">
        <v>10</v>
      </c>
      <c r="D2" t="inlineStr">
        <is>
          <t>TRUE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Performance Score</t>
        </is>
      </c>
      <c r="E1" s="1" t="inlineStr">
        <is>
          <t>Weight Multiplier</t>
        </is>
      </c>
    </row>
    <row r="2">
      <c r="A2" t="inlineStr">
        <is>
          <t>TREND</t>
        </is>
      </c>
      <c r="D2">
        <f>B2*C2</f>
        <v/>
      </c>
      <c r="E2">
        <f>IF(D2&gt;0,1.1,0.9)</f>
        <v/>
      </c>
    </row>
    <row r="3">
      <c r="A3" t="inlineStr">
        <is>
          <t>RANGE</t>
        </is>
      </c>
      <c r="D3">
        <f>B3*C3</f>
        <v/>
      </c>
      <c r="E3">
        <f>IF(D3&gt;0,1.1,0.9)</f>
        <v/>
      </c>
    </row>
    <row r="4">
      <c r="A4" t="inlineStr">
        <is>
          <t>VOLATILE</t>
        </is>
      </c>
      <c r="D4">
        <f>B4*C4</f>
        <v/>
      </c>
      <c r="E4">
        <f>IF(D4&gt;0,1.1,0.9)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A Return</t>
        </is>
      </c>
      <c r="B1" s="1" t="inlineStr">
        <is>
          <t>Asset B Return</t>
        </is>
      </c>
      <c r="C1" s="1" t="inlineStr">
        <is>
          <t>Correlation</t>
        </is>
      </c>
      <c r="D1" s="1" t="inlineStr">
        <is>
          <t>Allocation Adjustment</t>
        </is>
      </c>
    </row>
    <row r="2">
      <c r="C2">
        <f>CORREL(A2:A21,B2:B21)</f>
        <v/>
      </c>
      <c r="D2">
        <f>IF(C2&gt;0.7,0.8,1.0)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Volume Change %</t>
        </is>
      </c>
      <c r="C1" s="1" t="inlineStr">
        <is>
          <t>Momentum Score</t>
        </is>
      </c>
      <c r="D1" s="1" t="inlineStr">
        <is>
          <t>Capital Bias</t>
        </is>
      </c>
    </row>
    <row r="2">
      <c r="A2" t="inlineStr">
        <is>
          <t>CRYPTO</t>
        </is>
      </c>
      <c r="D2">
        <f>IF(B2&gt;0.05,"OVERWEIGHT","NEUTRAL")</f>
        <v/>
      </c>
    </row>
    <row r="3">
      <c r="A3" t="inlineStr">
        <is>
          <t>EQUITIES</t>
        </is>
      </c>
      <c r="D3">
        <f>IF(B3&gt;0.05,"OVERWEIGHT","NEUTRAL")</f>
        <v/>
      </c>
    </row>
    <row r="4">
      <c r="A4" t="inlineStr">
        <is>
          <t>FOREX</t>
        </is>
      </c>
      <c r="D4">
        <f>IF(B4&gt;0.05,"OVERWEIGHT","NEUTRAL")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FUND_A</t>
        </is>
      </c>
      <c r="C2">
        <f>B2/SUM(B2:B5)</f>
        <v/>
      </c>
      <c r="D2">
        <f>C2*500000</f>
        <v/>
      </c>
    </row>
    <row r="3">
      <c r="A3" t="inlineStr">
        <is>
          <t>FUND_B</t>
        </is>
      </c>
      <c r="C3">
        <f>B3/SUM(B2:B5)</f>
        <v/>
      </c>
      <c r="D3">
        <f>C3*500000</f>
        <v/>
      </c>
    </row>
    <row r="4">
      <c r="A4" t="inlineStr">
        <is>
          <t>FUND_C</t>
        </is>
      </c>
      <c r="C4">
        <f>B4/SUM(B2:B5)</f>
        <v/>
      </c>
      <c r="D4">
        <f>C4*500000</f>
        <v/>
      </c>
    </row>
    <row r="5">
      <c r="A5" t="inlineStr">
        <is>
          <t>FUND_D</t>
        </is>
      </c>
      <c r="C5">
        <f>B5/SUM(B2:B5)</f>
        <v/>
      </c>
      <c r="D5">
        <f>C5*500000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Indicator 1</t>
        </is>
      </c>
      <c r="B1" s="1" t="inlineStr">
        <is>
          <t>Indicator 2</t>
        </is>
      </c>
      <c r="C1" s="1" t="inlineStr">
        <is>
          <t>Composite Liquidity Score</t>
        </is>
      </c>
      <c r="D1" s="1" t="inlineStr">
        <is>
          <t>Liquidity Regime</t>
        </is>
      </c>
    </row>
    <row r="2">
      <c r="C2">
        <f>AVERAGE(A2:B2)</f>
        <v/>
      </c>
      <c r="D2">
        <f>IF(C2&gt;0.6,"EXPANSION",IF(C2&lt;0.4,"CONTRACTION","NEUTRAL"))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Index</t>
        </is>
      </c>
      <c r="B1" s="1" t="inlineStr">
        <is>
          <t>Credit Spread</t>
        </is>
      </c>
      <c r="C1" s="1" t="inlineStr">
        <is>
          <t>Macro Risk Score</t>
        </is>
      </c>
      <c r="D1" s="1" t="inlineStr">
        <is>
          <t>Risk Level</t>
        </is>
      </c>
    </row>
    <row r="2">
      <c r="C2">
        <f>AVERAGE(A2:B2)</f>
        <v/>
      </c>
      <c r="D2">
        <f>IF(C2&gt;0.7,"HIGH_RISK",IF(C2&gt;0.4,"MEDIUM_RISK","LOW_RISK"))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Change %</t>
        </is>
      </c>
      <c r="B1" s="1" t="inlineStr">
        <is>
          <t>Volatility Spike</t>
        </is>
      </c>
      <c r="C1" s="1" t="inlineStr">
        <is>
          <t>Shock Score</t>
        </is>
      </c>
      <c r="D1" s="1" t="inlineStr">
        <is>
          <t>Action</t>
        </is>
      </c>
    </row>
    <row r="2">
      <c r="C2">
        <f>ABS(A2)*B2</f>
        <v/>
      </c>
      <c r="D2">
        <f>IF(C2&gt;0.1,"REDUCE_EXPOSURE","NORMAL")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Drawdown %</t>
        </is>
      </c>
      <c r="B1" s="1" t="inlineStr">
        <is>
          <t>Macro Risk Level</t>
        </is>
      </c>
      <c r="C1" s="1" t="inlineStr">
        <is>
          <t>Liquidity Regime</t>
        </is>
      </c>
      <c r="D1" s="1" t="inlineStr">
        <is>
          <t>Capital Mode</t>
        </is>
      </c>
    </row>
    <row r="2">
      <c r="D2">
        <f>IF(OR(A2&gt;0.15,B2="HIGH_RISK",C2="CONTRACTION"),"DEFENSIVE_MODE","NORMAL_MODE")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Regime</t>
        </is>
      </c>
      <c r="B1" s="1" t="inlineStr">
        <is>
          <t>Crypto Regime</t>
        </is>
      </c>
      <c r="C1" s="1" t="inlineStr">
        <is>
          <t>Macro Regime</t>
        </is>
      </c>
      <c r="D1" s="1" t="inlineStr">
        <is>
          <t>Synchronized State</t>
        </is>
      </c>
    </row>
    <row r="2">
      <c r="D2">
        <f>IF(AND(A2=B2,B2=C2),A2,"DIVERGENCE")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 Scenario</t>
        </is>
      </c>
      <c r="B1" s="1" t="inlineStr">
        <is>
          <t>Equity Impact %</t>
        </is>
      </c>
      <c r="C1" s="1" t="inlineStr">
        <is>
          <t>Volatility Multiplier</t>
        </is>
      </c>
      <c r="D1" s="1" t="inlineStr">
        <is>
          <t>Capital After Shock</t>
        </is>
      </c>
    </row>
    <row r="2">
      <c r="A2" t="inlineStr">
        <is>
          <t>FLASH_CRASH</t>
        </is>
      </c>
      <c r="B2" t="n">
        <v>-0.25</v>
      </c>
      <c r="C2" t="n">
        <v>2</v>
      </c>
      <c r="D2">
        <f>100000*(1+B2)</f>
        <v/>
      </c>
    </row>
    <row r="3">
      <c r="A3" t="inlineStr">
        <is>
          <t>LIQUIDITY_DRAIN</t>
        </is>
      </c>
      <c r="B3" t="n">
        <v>-0.15</v>
      </c>
      <c r="C3" t="n">
        <v>1.5</v>
      </c>
      <c r="D3">
        <f>100000*(1+B3)</f>
        <v/>
      </c>
    </row>
    <row r="4">
      <c r="A4" t="inlineStr">
        <is>
          <t>MACRO_EVENT</t>
        </is>
      </c>
      <c r="B4" t="n">
        <v>-0.2</v>
      </c>
      <c r="C4" t="n">
        <v>1.8</v>
      </c>
      <c r="D4">
        <f>100000*(1+B4)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Market Shock</t>
        </is>
      </c>
      <c r="B1" s="1" t="inlineStr">
        <is>
          <t>Correlation Factor</t>
        </is>
      </c>
      <c r="C1" s="1" t="inlineStr">
        <is>
          <t>Propagated Impact %</t>
        </is>
      </c>
      <c r="D1" s="1" t="inlineStr">
        <is>
          <t>Adjusted Exposure</t>
        </is>
      </c>
    </row>
    <row r="2">
      <c r="A2" t="inlineStr">
        <is>
          <t>CRYPTO</t>
        </is>
      </c>
      <c r="B2" t="n">
        <v>-0.2</v>
      </c>
      <c r="C2">
        <f>A2*B2</f>
        <v/>
      </c>
      <c r="D2">
        <f>IF(C2&lt;-0.1,"REDUCE","NORMAL")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Risk Level</t>
        </is>
      </c>
      <c r="B1" s="1" t="inlineStr">
        <is>
          <t>Liquidity Regime</t>
        </is>
      </c>
      <c r="C1" s="1" t="inlineStr">
        <is>
          <t>Risk-Off Signal</t>
        </is>
      </c>
      <c r="D1" s="1" t="inlineStr">
        <is>
          <t>Capital Allocation Shift</t>
        </is>
      </c>
    </row>
    <row r="2">
      <c r="A2" t="inlineStr">
        <is>
          <t>HIGH_RISK</t>
        </is>
      </c>
      <c r="B2" t="inlineStr">
        <is>
          <t>CONTRACTION</t>
        </is>
      </c>
      <c r="C2">
        <f>IF(AND(A2="HIGH_RISK",B2="CONTRACTION"),"ACTIVATE","NO")</f>
        <v/>
      </c>
      <c r="D2">
        <f>IF(C2="ACTIVATE",0.5,1.0)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</t>
        </is>
      </c>
      <c r="C1" s="1" t="inlineStr">
        <is>
          <t>Capital Flow Bias</t>
        </is>
      </c>
      <c r="D1" s="1" t="inlineStr">
        <is>
          <t>Cycle Phase</t>
        </is>
      </c>
    </row>
    <row r="2">
      <c r="D2">
        <f>IF(AND(A2="EXPANSION",B2="LOW_RISK"),"RISK_ON",IF(AND(A2="CONTRACTION",B2="HIGH_RISK"),"RISK_OFF","TRANSITION"))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Spike</t>
        </is>
      </c>
      <c r="B1" s="1" t="inlineStr">
        <is>
          <t>Correlation Spike</t>
        </is>
      </c>
      <c r="C1" s="1" t="inlineStr">
        <is>
          <t>Drawdown Pressure</t>
        </is>
      </c>
      <c r="D1" s="1" t="inlineStr">
        <is>
          <t>Fragility Score</t>
        </is>
      </c>
      <c r="E1" s="1" t="inlineStr">
        <is>
          <t>Fragility Level</t>
        </is>
      </c>
    </row>
    <row r="2">
      <c r="D2">
        <f>AVERAGE(A2:C2)</f>
        <v/>
      </c>
      <c r="E2">
        <f>IF(D2&gt;0.7,"EXTREME",IF(D2&gt;0.4,"ELEVATED","STABLE"))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Drop %</t>
        </is>
      </c>
      <c r="B1" s="1" t="inlineStr">
        <is>
          <t>Spread Widening</t>
        </is>
      </c>
      <c r="C1" s="1" t="inlineStr">
        <is>
          <t>Vacuum Score</t>
        </is>
      </c>
      <c r="D1" s="1" t="inlineStr">
        <is>
          <t>Vacuum Alert</t>
        </is>
      </c>
    </row>
    <row r="2">
      <c r="C2">
        <f>ABS(A2)*B2</f>
        <v/>
      </c>
      <c r="D2">
        <f>IF(C2&gt;0.1,"VACUUM_RISK","NORMAL")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Performance Score</t>
        </is>
      </c>
      <c r="C1" s="1" t="inlineStr">
        <is>
          <t>Risk Score</t>
        </is>
      </c>
      <c r="D1" s="1" t="inlineStr">
        <is>
          <t>Migration Weight</t>
        </is>
      </c>
      <c r="E1" s="1" t="inlineStr">
        <is>
          <t>Capital Allocation</t>
        </is>
      </c>
    </row>
    <row r="2">
      <c r="A2" t="inlineStr">
        <is>
          <t>CRYPTO</t>
        </is>
      </c>
      <c r="D2">
        <f>B2/(C2+0.0001)</f>
        <v/>
      </c>
      <c r="E2">
        <f>D2/SUM(D2:D6)*1000000</f>
        <v/>
      </c>
    </row>
    <row r="3">
      <c r="A3" t="inlineStr">
        <is>
          <t>EQUITIES</t>
        </is>
      </c>
      <c r="D3">
        <f>B3/(C3+0.0001)</f>
        <v/>
      </c>
      <c r="E3">
        <f>D3/SUM(D2:D6)*1000000</f>
        <v/>
      </c>
    </row>
    <row r="4">
      <c r="A4" t="inlineStr">
        <is>
          <t>FOREX</t>
        </is>
      </c>
      <c r="D4">
        <f>B4/(C4+0.0001)</f>
        <v/>
      </c>
      <c r="E4">
        <f>D4/SUM(D2:D6)*1000000</f>
        <v/>
      </c>
    </row>
    <row r="5">
      <c r="A5" t="inlineStr">
        <is>
          <t>BONDS</t>
        </is>
      </c>
      <c r="D5">
        <f>B5/(C5+0.0001)</f>
        <v/>
      </c>
      <c r="E5">
        <f>D5/SUM(D2:D6)*1000000</f>
        <v/>
      </c>
    </row>
    <row r="6">
      <c r="A6" t="inlineStr">
        <is>
          <t>CASH</t>
        </is>
      </c>
      <c r="D6">
        <f>B6/(C6+0.0001)</f>
        <v/>
      </c>
      <c r="E6">
        <f>D6/SUM(D2:D6)*1000000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Source</t>
        </is>
      </c>
      <c r="B1" s="1" t="inlineStr">
        <is>
          <t>Score</t>
        </is>
      </c>
      <c r="C1" s="1" t="inlineStr">
        <is>
          <t>Weight</t>
        </is>
      </c>
      <c r="D1" s="1" t="inlineStr">
        <is>
          <t>Weighted Output</t>
        </is>
      </c>
    </row>
    <row r="2">
      <c r="A2" t="inlineStr">
        <is>
          <t>Technical Engine</t>
        </is>
      </c>
      <c r="D2">
        <f>B2*C2</f>
        <v/>
      </c>
    </row>
    <row r="3">
      <c r="A3" t="inlineStr">
        <is>
          <t>Regime Intelligence</t>
        </is>
      </c>
      <c r="D3">
        <f>B3*C3</f>
        <v/>
      </c>
    </row>
    <row r="4">
      <c r="A4" t="inlineStr">
        <is>
          <t>Macro Layer</t>
        </is>
      </c>
      <c r="D4">
        <f>B4*C4</f>
        <v/>
      </c>
    </row>
    <row r="5">
      <c r="A5" t="inlineStr">
        <is>
          <t>Capital Flow</t>
        </is>
      </c>
      <c r="D5">
        <f>B5*C5</f>
        <v/>
      </c>
    </row>
    <row r="6">
      <c r="A6" t="inlineStr">
        <is>
          <t>Risk Engine</t>
        </is>
      </c>
      <c r="D6">
        <f>B6*C6</f>
        <v/>
      </c>
    </row>
    <row r="7">
      <c r="A7" t="inlineStr">
        <is>
          <t>FINAL_AI_SCORE</t>
        </is>
      </c>
      <c r="D7">
        <f>SUM(D2:D6)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Edge</t>
        </is>
      </c>
      <c r="B1" s="1" t="inlineStr">
        <is>
          <t>Actual Outcome</t>
        </is>
      </c>
      <c r="C1" s="1" t="inlineStr">
        <is>
          <t>Calibration Error</t>
        </is>
      </c>
      <c r="D1" s="1" t="inlineStr">
        <is>
          <t>Confidence Adjustment</t>
        </is>
      </c>
    </row>
    <row r="2">
      <c r="C2">
        <f>ABS(A2-B2)</f>
        <v/>
      </c>
      <c r="D2">
        <f>IF(C2&gt;0.1,0.9,1.05)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Fragility Level</t>
        </is>
      </c>
      <c r="C1" s="1" t="inlineStr">
        <is>
          <t>Base Risk %</t>
        </is>
      </c>
      <c r="D1" s="1" t="inlineStr">
        <is>
          <t>Final Risk Allocation</t>
        </is>
      </c>
    </row>
    <row r="2">
      <c r="D2">
        <f>IF(B2="EXTREME",C2*0.5,IF(B2="ELEVATED",C2*0.8,C2*(A2+0.5)))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AI Score</t>
        </is>
      </c>
      <c r="C1" s="1" t="inlineStr">
        <is>
          <t>Risk Allocation</t>
        </is>
      </c>
      <c r="D1" s="1" t="inlineStr">
        <is>
          <t>Capital Growth %</t>
        </is>
      </c>
      <c r="E1" s="1" t="inlineStr">
        <is>
          <t>Reinforce?</t>
        </is>
      </c>
    </row>
    <row r="2">
      <c r="A2" t="n">
        <v>1</v>
      </c>
      <c r="E2">
        <f>IF(D2&gt;0,"REINFORCE","RECALIBRATE")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AI Score</t>
        </is>
      </c>
    </row>
    <row r="3">
      <c r="A3" t="inlineStr">
        <is>
          <t>System Risk State</t>
        </is>
      </c>
    </row>
    <row r="4">
      <c r="A4" t="inlineStr">
        <is>
          <t>Capital Mode</t>
        </is>
      </c>
    </row>
    <row r="5">
      <c r="A5" t="inlineStr">
        <is>
          <t>Current Fragility</t>
        </is>
      </c>
    </row>
    <row r="6">
      <c r="A6" t="inlineStr">
        <is>
          <t>Global Cycle Phase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 Level</t>
        </is>
      </c>
      <c r="C1" s="1" t="inlineStr">
        <is>
          <t>Shock Absorber</t>
        </is>
      </c>
      <c r="D1" s="1" t="inlineStr">
        <is>
          <t>Trade Permission</t>
        </is>
      </c>
    </row>
    <row r="2">
      <c r="D2">
        <f>IF(OR(A2="CONTRACTION",B2="HIGH_RISK",C2="REDUCE_EXPOSURE"),"BLOCK","ALLOW")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Active?</t>
        </is>
      </c>
    </row>
    <row r="2">
      <c r="A2" t="inlineStr">
        <is>
          <t>STRAT_1</t>
        </is>
      </c>
      <c r="B2">
        <f>IFERROR(AI_DECISION_FUSION!A2*ALPHA_PERSISTENCE_ENGINE!D2,AI_DECISION_FUSION!A2)</f>
        <v/>
      </c>
      <c r="C2">
        <f>RANK(B2,B2:B6)</f>
        <v/>
      </c>
      <c r="D2">
        <f>IF(C2&lt;=2,"YES","NO")</f>
        <v/>
      </c>
    </row>
    <row r="3">
      <c r="A3" t="inlineStr">
        <is>
          <t>STRAT_2</t>
        </is>
      </c>
      <c r="B3">
        <f>IFERROR(AI_DECISION_FUSION!A2*ALPHA_PERSISTENCE_ENGINE!D2,AI_DECISION_FUSION!A2)</f>
        <v/>
      </c>
      <c r="C3">
        <f>RANK(B3,B2:B6)</f>
        <v/>
      </c>
      <c r="D3">
        <f>IF(C3&lt;=2,"YES","NO")</f>
        <v/>
      </c>
    </row>
    <row r="4">
      <c r="A4" t="inlineStr">
        <is>
          <t>STRAT_3</t>
        </is>
      </c>
      <c r="B4">
        <f>IFERROR(AI_DECISION_FUSION!A2*ALPHA_PERSISTENCE_ENGINE!D2,AI_DECISION_FUSION!A2)</f>
        <v/>
      </c>
      <c r="C4">
        <f>RANK(B4,B2:B6)</f>
        <v/>
      </c>
      <c r="D4">
        <f>IF(C4&lt;=2,"YES","NO")</f>
        <v/>
      </c>
    </row>
    <row r="5">
      <c r="A5" t="inlineStr">
        <is>
          <t>STRAT_4</t>
        </is>
      </c>
      <c r="B5">
        <f>IFERROR(AI_DECISION_FUSION!A2*ALPHA_PERSISTENCE_ENGINE!D2,AI_DECISION_FUSION!A2)</f>
        <v/>
      </c>
      <c r="C5">
        <f>RANK(B5,B2:B6)</f>
        <v/>
      </c>
      <c r="D5">
        <f>IF(C5&lt;=2,"YES","NO")</f>
        <v/>
      </c>
    </row>
    <row r="6">
      <c r="A6" t="inlineStr">
        <is>
          <t>STRAT_5</t>
        </is>
      </c>
      <c r="B6">
        <f>IFERROR(AI_DECISION_FUSION!A2*ALPHA_PERSISTENCE_ENGINE!D2,AI_DECISION_FUSION!A2)</f>
        <v/>
      </c>
      <c r="C6">
        <f>RANK(B6,B2:B6)</f>
        <v/>
      </c>
      <c r="D6">
        <f>IF(C6&lt;=2,"YES","NO")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Macro Gate</t>
        </is>
      </c>
      <c r="C1" s="1" t="inlineStr">
        <is>
          <t>Active Strategy</t>
        </is>
      </c>
      <c r="D1" s="1" t="inlineStr">
        <is>
          <t>Final Trade Decision</t>
        </is>
      </c>
      <c r="E1" t="inlineStr">
        <is>
          <t>Exit Guidance</t>
        </is>
      </c>
      <c r="F1" t="inlineStr">
        <is>
          <t>Final Trade Decision (LEGACY)</t>
        </is>
      </c>
    </row>
    <row r="2">
      <c r="A2" t="n">
        <v>0</v>
      </c>
      <c r="B2" t="inlineStr">
        <is>
          <t>ALLOW</t>
        </is>
      </c>
      <c r="C2" t="inlineStr">
        <is>
          <t>YES</t>
        </is>
      </c>
      <c r="D2" t="inlineStr">
        <is>
          <t>HOLD</t>
        </is>
      </c>
      <c r="E2" t="inlineStr">
        <is>
          <t>HOLD</t>
        </is>
      </c>
      <c r="F2">
        <f>IF(AND(B2="ALLOW",C2="YES",A2&gt;0.6,EXECUTION_EFFICIENCY_SCORE!C2&gt;0.5,ALPHA_PERSISTENCE_ENGINE!D2&gt;0.5),"EXECUTE","STAND_BY")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 Proxy</t>
        </is>
      </c>
      <c r="B1" t="inlineStr">
        <is>
          <t>Liquidity Score</t>
        </is>
      </c>
      <c r="C1" t="inlineStr">
        <is>
          <t>Execution Efficiency</t>
        </is>
      </c>
      <c r="D1" t="inlineStr">
        <is>
          <t>Execution Regime</t>
        </is>
      </c>
    </row>
    <row r="2">
      <c r="A2">
        <f>IFERROR(1-GLOBAL_LIQUIDITY_PROXY!C2,0.5)</f>
        <v/>
      </c>
      <c r="B2">
        <f>IFERROR(GLOBAL_LIQUIDITY_PROXY!C2,0.5)</f>
        <v/>
      </c>
      <c r="C2">
        <f>MAX(0,MIN(1,0.5*B2+0.5*(1-A2)))</f>
        <v/>
      </c>
      <c r="D2">
        <f>IF(C2&gt;0.65,"HIGH_QUALITY",IF(C2&lt;0.4,"POOR","NORMAL"))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Edge</t>
        </is>
      </c>
      <c r="B1" t="inlineStr">
        <is>
          <t>Calibration Adj</t>
        </is>
      </c>
      <c r="C1" t="inlineStr">
        <is>
          <t>Regime Stability</t>
        </is>
      </c>
      <c r="D1" t="inlineStr">
        <is>
          <t>Alpha Persistence Score</t>
        </is>
      </c>
      <c r="E1" t="inlineStr">
        <is>
          <t>Persistence Regime</t>
        </is>
      </c>
    </row>
    <row r="2">
      <c r="A2">
        <f>IFERROR(AI_CONFIDENCE_CALIBRATOR!A2,0.5)</f>
        <v/>
      </c>
      <c r="B2">
        <f>IFERROR(AI_CONFIDENCE_CALIBRATOR!D2,1)</f>
        <v/>
      </c>
      <c r="C2">
        <f>IFERROR(IF(HMM_REGIME_MODEL!A2&lt;&gt;"",0.7,0.5),0.5)</f>
        <v/>
      </c>
      <c r="D2">
        <f>MAX(0,MIN(1,A2*B2*C2))</f>
        <v/>
      </c>
      <c r="E2">
        <f>IF(D2&gt;0.6,"PERSISTENT",IF(D2&lt;0.35,"WEAK","UNSTABLE"))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Decision</t>
        </is>
      </c>
      <c r="B1" t="inlineStr">
        <is>
          <t>Execution Quality</t>
        </is>
      </c>
      <c r="C1" t="inlineStr">
        <is>
          <t>Alpha Persistence</t>
        </is>
      </c>
      <c r="D1" t="inlineStr">
        <is>
          <t>Exit Pressure</t>
        </is>
      </c>
      <c r="E1" t="inlineStr">
        <is>
          <t>Exit Action</t>
        </is>
      </c>
    </row>
    <row r="2">
      <c r="A2">
        <f>AI_MASTER_LIVE_DECISION!F2</f>
        <v/>
      </c>
      <c r="B2">
        <f>EXECUTION_EFFICIENCY_SCORE!C2</f>
        <v/>
      </c>
      <c r="C2">
        <f>ALPHA_PERSISTENCE_ENGINE!D2</f>
        <v/>
      </c>
      <c r="D2">
        <f>MAX(0,MIN(1,(1-B2)*0.5+(1-C2)*0.5))</f>
        <v/>
      </c>
      <c r="E2">
        <f>IF(D2&gt;0.6,"AGGRESSIVE_EXIT",IF(D2&gt;0.4,"PARTIAL_EXIT","HOLD"))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2026-02-11T21:39:17Z</dcterms:created>
  <dcterms:modified xmlns:dcterms="http://purl.org/dc/terms/" xmlns:xsi="http://www.w3.org/2001/XMLSchema-instance" xsi:type="dcterms:W3CDTF">2026-02-14T17:16:38Z</dcterms:modified>
</cp:coreProperties>
</file>