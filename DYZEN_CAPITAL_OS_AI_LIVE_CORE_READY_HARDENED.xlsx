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EXECUTION_EFFICIENCY_SCORE" sheetId="63" state="visible" r:id="rId63"/>
    <sheet xmlns:r="http://schemas.openxmlformats.org/officeDocument/2006/relationships" name="ALPHA_PERSISTENCE_ENGINE" sheetId="64" state="visible" r:id="rId64"/>
    <sheet xmlns:r="http://schemas.openxmlformats.org/officeDocument/2006/relationships" name="ADAPTIVE_EXIT_MANAGER" sheetId="65" state="visible" r:id="rId6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styles" Target="styles.xml" Id="rId66"/><Relationship Type="http://schemas.openxmlformats.org/officeDocument/2006/relationships/theme" Target="theme/theme1.xml" Id="rId6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IFERROR(AI_DECISION_FUSION!A2*ALPHA_PERSISTENCE_ENGINE!D2,AI_DECISION_FUSION!A2)</f>
        <v/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>
        <f>IFERROR(AI_DECISION_FUSION!A2*ALPHA_PERSISTENCE_ENGINE!D2,AI_DECISION_FUSION!A2)</f>
        <v/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>
        <f>IFERROR(AI_DECISION_FUSION!A2*ALPHA_PERSISTENCE_ENGINE!D2,AI_DECISION_FUSION!A2)</f>
        <v/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>
        <f>IFERROR(AI_DECISION_FUSION!A2*ALPHA_PERSISTENCE_ENGINE!D2,AI_DECISION_FUSION!A2)</f>
        <v/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>
        <f>IFERROR(AI_DECISION_FUSION!A2*ALPHA_PERSISTENCE_ENGINE!D2,AI_DECISION_FUSION!A2)</f>
        <v/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Exit Guidance</t>
        </is>
      </c>
    </row>
    <row r="2">
      <c r="D2">
        <f>IF(AND(B2="ALLOW",C2="YES",A2&gt;0.6,EXECUTION_EFFICIENCY_SCORE!C2&gt;0.5,ALPHA_PERSISTENCE_ENGINE!D2&gt;0.5),"EXECUTE","STAND_BY")</f>
        <v/>
      </c>
      <c r="E2">
        <f>ADAPTIVE_EXIT_MANAGER!E2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Spread Proxy</t>
        </is>
      </c>
      <c r="B1" t="inlineStr">
        <is>
          <t>Liquidity Score</t>
        </is>
      </c>
      <c r="C1" t="inlineStr">
        <is>
          <t>Execution Efficiency</t>
        </is>
      </c>
      <c r="D1" t="inlineStr">
        <is>
          <t>Execution Regime</t>
        </is>
      </c>
    </row>
    <row r="2">
      <c r="A2">
        <f>IFERROR(1-GLOBAL_LIQUIDITY_PROXY!C2,0.5)</f>
        <v/>
      </c>
      <c r="B2">
        <f>IFERROR(GLOBAL_LIQUIDITY_PROXY!C2,0.5)</f>
        <v/>
      </c>
      <c r="C2">
        <f>MAX(0,MIN(1,0.5*B2+0.5*(1-A2)))</f>
        <v/>
      </c>
      <c r="D2">
        <f>IF(C2&gt;0.65,"HIGH_QUALITY",IF(C2&lt;0.4,"POOR","NORMAL"))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Predicted Edge</t>
        </is>
      </c>
      <c r="B1" t="inlineStr">
        <is>
          <t>Calibration Adj</t>
        </is>
      </c>
      <c r="C1" t="inlineStr">
        <is>
          <t>Regime Stability</t>
        </is>
      </c>
      <c r="D1" t="inlineStr">
        <is>
          <t>Alpha Persistence Score</t>
        </is>
      </c>
      <c r="E1" t="inlineStr">
        <is>
          <t>Persistence Regime</t>
        </is>
      </c>
    </row>
    <row r="2">
      <c r="A2">
        <f>IFERROR(AI_CONFIDENCE_CALIBRATOR!A2,0.5)</f>
        <v/>
      </c>
      <c r="B2">
        <f>IFERROR(AI_CONFIDENCE_CALIBRATOR!D2,1)</f>
        <v/>
      </c>
      <c r="C2">
        <f>IFERROR(IF(HMM_REGIME_MODEL!A2&lt;&gt;"",0.7,0.5),0.5)</f>
        <v/>
      </c>
      <c r="D2">
        <f>MAX(0,MIN(1,A2*B2*C2))</f>
        <v/>
      </c>
      <c r="E2">
        <f>IF(D2&gt;0.6,"PERSISTENT",IF(D2&lt;0.35,"WEAK","UNSTABLE"))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 Decision</t>
        </is>
      </c>
      <c r="B1" t="inlineStr">
        <is>
          <t>Execution Quality</t>
        </is>
      </c>
      <c r="C1" t="inlineStr">
        <is>
          <t>Alpha Persistence</t>
        </is>
      </c>
      <c r="D1" t="inlineStr">
        <is>
          <t>Exit Pressure</t>
        </is>
      </c>
      <c r="E1" t="inlineStr">
        <is>
          <t>Exit Action</t>
        </is>
      </c>
    </row>
    <row r="2">
      <c r="A2">
        <f>AI_MASTER_LIVE_DECISION!D2</f>
        <v/>
      </c>
      <c r="B2">
        <f>EXECUTION_EFFICIENCY_SCORE!C2</f>
        <v/>
      </c>
      <c r="C2">
        <f>ALPHA_PERSISTENCE_ENGINE!D2</f>
        <v/>
      </c>
      <c r="D2">
        <f>MAX(0,MIN(1,(1-B2)*0.5+(1-C2)*0.5))</f>
        <v/>
      </c>
      <c r="E2">
        <f>IF(D2&gt;0.6,"AGGRESSIVE_EXIT",IF(D2&gt;0.4,"PARTIAL_EXIT","HOLD"))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2026-02-14T16:30:01Z</dcterms:modified>
</cp:coreProperties>
</file>